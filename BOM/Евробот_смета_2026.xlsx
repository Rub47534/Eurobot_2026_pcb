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v\Documents\main_documents\Github\Eurobot_2026_pcb\BOM\"/>
    </mc:Choice>
  </mc:AlternateContent>
  <xr:revisionPtr revIDLastSave="0" documentId="13_ncr:1_{225D5FE9-D862-433D-B509-D25DD72E936E}" xr6:coauthVersionLast="47" xr6:coauthVersionMax="47" xr10:uidLastSave="{00000000-0000-0000-0000-000000000000}"/>
  <bookViews>
    <workbookView xWindow="-108" yWindow="492" windowWidth="23256" windowHeight="14016" xr2:uid="{00000000-000D-0000-FFFF-FFFF00000000}"/>
  </bookViews>
  <sheets>
    <sheet name="Закупка PCB финал" sheetId="2" r:id="rId1"/>
    <sheet name="Электроника" sheetId="4" r:id="rId2"/>
    <sheet name="SIMA" sheetId="6" r:id="rId3"/>
    <sheet name="Срочная_закупка" sheetId="8" r:id="rId4"/>
  </sheets>
  <definedNames>
    <definedName name="_xlnm._FilterDatabase" localSheetId="3" hidden="1">Срочная_закупка!$A$1:$G$72</definedName>
  </definedNames>
  <calcPr calcId="191029"/>
  <customWorkbookViews>
    <customWorkbookView name="Фильтр 1" guid="{282656D7-F4BD-467E-8E2A-719132E8A28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8" l="1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0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G7" i="8" s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5" i="6"/>
  <c r="E4" i="6"/>
  <c r="E2" i="6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E43" i="4"/>
  <c r="E42" i="4"/>
  <c r="E41" i="4"/>
  <c r="E40" i="4"/>
  <c r="E39" i="4"/>
  <c r="E38" i="4"/>
  <c r="E37" i="4"/>
  <c r="E36" i="4"/>
  <c r="E35" i="4"/>
  <c r="E34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I10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<sst xmlns="http://schemas.openxmlformats.org/spreadsheetml/2006/main" count="690" uniqueCount="311">
  <si>
    <t>Наименование</t>
  </si>
  <si>
    <t>Кол-во, шт.</t>
  </si>
  <si>
    <t>Цена, руб.</t>
  </si>
  <si>
    <t>Стоимость, руб.</t>
  </si>
  <si>
    <t>Ссылка</t>
  </si>
  <si>
    <t>Комментарий</t>
  </si>
  <si>
    <t>KLS5-242 держатель предохранителя 5x20 мм</t>
  </si>
  <si>
    <t>Чип и дип</t>
  </si>
  <si>
    <t>Коннектор 4 pins</t>
  </si>
  <si>
    <t>Алик</t>
  </si>
  <si>
    <t>Набор 10 шт</t>
  </si>
  <si>
    <t>Коннектор 3 pins</t>
  </si>
  <si>
    <t>Держатель для предохранителя на плату</t>
  </si>
  <si>
    <t>Набор 5 шт</t>
  </si>
  <si>
    <t>Однополюсный стеклянный держатель предохранителя TLZWLA 6*30</t>
  </si>
  <si>
    <t>Ali</t>
  </si>
  <si>
    <t>Клеммная колодка DG308 KF128 2.54 мм 2/3/4P Комплект</t>
  </si>
  <si>
    <t>Озон</t>
  </si>
  <si>
    <t>Набор 50 шт</t>
  </si>
  <si>
    <t>ozon</t>
  </si>
  <si>
    <t>Наконечник для проводов Красный E0506, 0.5мм2</t>
  </si>
  <si>
    <t>Набор 500 шт</t>
  </si>
  <si>
    <t>chipdip</t>
  </si>
  <si>
    <t>Наконечник для проводов Серый E0506, 0.5мм2</t>
  </si>
  <si>
    <t>Яндекс маркет</t>
  </si>
  <si>
    <t>Стойка для печатной платы MAE-10T 5 мм</t>
  </si>
  <si>
    <t>В наборе 50 шт</t>
  </si>
  <si>
    <t>Все инструменты</t>
  </si>
  <si>
    <t>Набор диодов</t>
  </si>
  <si>
    <t>В наборе 200 шт</t>
  </si>
  <si>
    <t>Клеммы LT-33</t>
  </si>
  <si>
    <t>ЯМаркет</t>
  </si>
  <si>
    <t>В наборе 10 шт</t>
  </si>
  <si>
    <t>Тумблерный выключатель</t>
  </si>
  <si>
    <t>Набор конденсаторов высокоёмких</t>
  </si>
  <si>
    <t>Магниты 8*3 под винт m2</t>
  </si>
  <si>
    <t>Инструменты</t>
  </si>
  <si>
    <t>DIP переключатели 7 pin</t>
  </si>
  <si>
    <t>Чип и Дип</t>
  </si>
  <si>
    <t xml:space="preserve"> </t>
  </si>
  <si>
    <t>TVS диод 30В однонаправленный</t>
  </si>
  <si>
    <t>TVS диод 39В двунаправленный</t>
  </si>
  <si>
    <t>TVS диод 12В однонаправленный</t>
  </si>
  <si>
    <t>TVS диод 12В двунаправленный</t>
  </si>
  <si>
    <t>TVS диод 18В однонаправленный</t>
  </si>
  <si>
    <t>TVS диод 18В двунаправленный</t>
  </si>
  <si>
    <t>Коммутатор аналоговых сигналов SOT235</t>
  </si>
  <si>
    <t>Шайба нейлоновая М3</t>
  </si>
  <si>
    <t>Набор 100 шт</t>
  </si>
  <si>
    <t>Винт DIN 7991 M2x10</t>
  </si>
  <si>
    <t>Разъём DC-DC TLZWLA для ребута</t>
  </si>
  <si>
    <t>DC power plug 3.5*1.3 мм</t>
  </si>
  <si>
    <t>DC power plug 5.5*2.5 мм</t>
  </si>
  <si>
    <t>Разъём DC-DC PQZULK 5.5*2.5 мм</t>
  </si>
  <si>
    <t>Набор трубчатых предохранителей</t>
  </si>
  <si>
    <t>Набор много штук</t>
  </si>
  <si>
    <t>Диод Шоттки 20В</t>
  </si>
  <si>
    <t>Для сим</t>
  </si>
  <si>
    <t>Разъемы питания DC XT60PW-M</t>
  </si>
  <si>
    <t>TVS диод 10В THT</t>
  </si>
  <si>
    <t>Разъём USBA-2J угловой</t>
  </si>
  <si>
    <t>Разъём USBA-1JS вертикальный</t>
  </si>
  <si>
    <t>SMD предохранитель 3.5А</t>
  </si>
  <si>
    <t>Набор 10 штук</t>
  </si>
  <si>
    <t>Держатель SMD предохранителя Алик</t>
  </si>
  <si>
    <t>Провода AWG 14 по 2м</t>
  </si>
  <si>
    <t>В наборе 2м чёрный и красный</t>
  </si>
  <si>
    <t>Разъём штыревой 2x40</t>
  </si>
  <si>
    <t>Регулируемый стабилизатор напряжения LM317AEMP</t>
  </si>
  <si>
    <t>Компаратор LM393ADR</t>
  </si>
  <si>
    <t>от 15 шт.</t>
  </si>
  <si>
    <t>Стабилизатор напряжения 5В+ - 78М05</t>
  </si>
  <si>
    <t>Формирователь сброса MAX809R</t>
  </si>
  <si>
    <t>PBD-20R гнездо на плату (для USB3300)</t>
  </si>
  <si>
    <t>Waveshare USB3300</t>
  </si>
  <si>
    <t>Amperkot</t>
  </si>
  <si>
    <r>
      <rPr>
        <sz val="10"/>
        <rFont val="Arial"/>
      </rPr>
      <t xml:space="preserve">Есть </t>
    </r>
    <r>
      <rPr>
        <u/>
        <sz val="10"/>
        <color rgb="FF1155CC"/>
        <rFont val="Arial"/>
      </rPr>
      <t>дешевле</t>
    </r>
    <r>
      <rPr>
        <sz val="10"/>
        <rFont val="Arial"/>
      </rPr>
      <t xml:space="preserve"> на алиэкспресс, но ноунейм + ждать дольше</t>
    </r>
  </si>
  <si>
    <t>https://ozon.ru/t/QiFFcLT</t>
  </si>
  <si>
    <t>Разъём XH2.54 6pin</t>
  </si>
  <si>
    <t>В наборе 20 шт</t>
  </si>
  <si>
    <t>Клеммник DG127-5.0-02P-14-00Z(H)</t>
  </si>
  <si>
    <t>переключатель движковый ПД9-2</t>
  </si>
  <si>
    <t>Транзистор NMOS 2N7002P</t>
  </si>
  <si>
    <t>Высокомощный ключ 20N06</t>
  </si>
  <si>
    <t>Набор SMD конденсаторов 0805</t>
  </si>
  <si>
    <t>Набор по 20 шт</t>
  </si>
  <si>
    <t>WeAct STM32H723VGT6</t>
  </si>
  <si>
    <t>3 шт.</t>
  </si>
  <si>
    <t>w5500 ethernet</t>
  </si>
  <si>
    <t>доставка дешевле, если  закупать по -одному</t>
  </si>
  <si>
    <t>Клеммы для проводов соединительная,DANPRO, обжимные, тип ваги, wago, набор, 90 штук</t>
  </si>
  <si>
    <t>https://ozon.ru/t/3hF8KDr</t>
  </si>
  <si>
    <t>PD 140 Вт TYPE-C USB Автомобильное зарядное устройство Преобразователь быстрой зарядки Адаптер настольного зарядки 20 В SuperVOO PPS QC PD 3.0 DC 5525 12 В 24 В до 5 В</t>
  </si>
  <si>
    <t>https://ali.click/ros441h</t>
  </si>
  <si>
    <t>Кнопка аварийной остановки</t>
  </si>
  <si>
    <t>https://ozon.ru/t/d7sDMZI</t>
  </si>
  <si>
    <t>HZWDONE ST3215 Серводвигатель 20кг/30кг</t>
  </si>
  <si>
    <t>https://ali.click/be7551l</t>
  </si>
  <si>
    <t>2 шт.
Доставили пустую упаковку</t>
  </si>
  <si>
    <t>R2G2CH005, Реле миниатюрное 2пер. 5VDC, 8A/250VAC</t>
  </si>
  <si>
    <t>https://www.chipdip.ru/product/r2g2ch005-rele-miniatyurnoe-2per-5vdc-8a-250vac-shenler-9001108232</t>
  </si>
  <si>
    <t>Приоритет</t>
  </si>
  <si>
    <t>высокий</t>
  </si>
  <si>
    <t>средний</t>
  </si>
  <si>
    <t>30KG Serial Bus Servo, High precision and torque, with Programmable 360 Degrees Magnetic Encoder</t>
  </si>
  <si>
    <t>https://ali.click/t9kfyg</t>
  </si>
  <si>
    <t>10 шт</t>
  </si>
  <si>
    <t>Serial Bus Servo Driver Board, Integrates Servo Power Supply And Control Circuit, Applicable for ST/SC Series Serial Bus Servos</t>
  </si>
  <si>
    <t>https://ali.click/makfys</t>
  </si>
  <si>
    <t>2 шт</t>
  </si>
  <si>
    <r>
      <rPr>
        <sz val="10"/>
        <color theme="1"/>
        <rFont val="Arial"/>
      </rPr>
      <t xml:space="preserve">Мощный микро-редуктор с высоким крутящим моментом, бесщеточный двигатель-редуктор диаметром 37 мм, JGB37-3650 постоянного тока, 24 В постоянного тока </t>
    </r>
    <r>
      <rPr>
        <b/>
        <sz val="10"/>
        <color theme="1"/>
        <rFont val="Arial"/>
      </rPr>
      <t>(24V142RPM)</t>
    </r>
  </si>
  <si>
    <t>https://ali.click/kp5glh</t>
  </si>
  <si>
    <t>Модуль распознавания цвета TCS34725</t>
  </si>
  <si>
    <t>https://ali.click/dosqlz</t>
  </si>
  <si>
    <t>5 шт</t>
  </si>
  <si>
    <t>GlintDeer Цифровой вольтметр амперметр 0-100В 0-10А</t>
  </si>
  <si>
    <t>https://ali.click/ifx5pu</t>
  </si>
  <si>
    <t>Цифровой вольметр большой 5-30В</t>
  </si>
  <si>
    <t>https://ali.click/39y2po</t>
  </si>
  <si>
    <t>Водонепроницаемые алюминиевые кнопки переключателя 12/16/19/22 мм с подсветкой</t>
  </si>
  <si>
    <t>https://ali.click/wzx5pj</t>
  </si>
  <si>
    <t>Модуль Power Bank 100 Вт</t>
  </si>
  <si>
    <t>https://ali.click/aqe1po</t>
  </si>
  <si>
    <t>SuperVOO PD 140 Вт автомобильное зарядное устройство</t>
  </si>
  <si>
    <t>https://ali.click/tpe1px</t>
  </si>
  <si>
    <t>TFT-дисплей 1.8 дюйма</t>
  </si>
  <si>
    <t>https://ali.click/45nmkm</t>
  </si>
  <si>
    <t>https://ozon.ru/t/rdYo51S</t>
  </si>
  <si>
    <t>Цифровой вольтметр DC 0-100В</t>
  </si>
  <si>
    <t>https://ali.click/eqx5pr</t>
  </si>
  <si>
    <t>10 шт. (включая 5 для SIMA)</t>
  </si>
  <si>
    <t>100 шт./лот 5x20 мм быстро выдувное стекло трубчатый предохранитель Ассорти набор быстро Выдувное Стекло Предохранители 250 в 1A/2A/3A/4A/5A/6A/7A/10A/15A/20A</t>
  </si>
  <si>
    <t>https://ali.click/jj9uw2</t>
  </si>
  <si>
    <t>Модуль датчика распознавания цвета GY-33 TCS34725</t>
  </si>
  <si>
    <t>https://ali.click/awe8xi</t>
  </si>
  <si>
    <t>SparkFun Optical Tracking Odometry Sensor - PAA5160E1 (Qwiic)</t>
  </si>
  <si>
    <t>https://www.sparkfun.com/sparkfun-optical-tracking-odometry-sensor-paa5160e1-qwiic.html</t>
  </si>
  <si>
    <t>через Гошу
(потерян в Стамбуле, деньги потеряны)</t>
  </si>
  <si>
    <t>Заказан через США</t>
  </si>
  <si>
    <t>UGREEN USB-хаб USB 3.0 4 порта</t>
  </si>
  <si>
    <t>https://ali.click/9h1lyx</t>
  </si>
  <si>
    <t>Силовая плата</t>
  </si>
  <si>
    <t>2 шт.</t>
  </si>
  <si>
    <t>Плата управления</t>
  </si>
  <si>
    <t>Waveshare ST3215 Сервопривод</t>
  </si>
  <si>
    <t>https://ali.click/iyxp61m</t>
  </si>
  <si>
    <t>Для печатки</t>
  </si>
  <si>
    <t>Общая сумма:</t>
  </si>
  <si>
    <t>DC Converter BEC 12S, 9-55V to 5-12V 5A</t>
  </si>
  <si>
    <t>https://aliexpress.ru/item/1005009140615955.html?sku_id=12000048060693132&amp;spm=a2g2w.productlist.search_results.2.4c5b4b7bhBTaaI</t>
  </si>
  <si>
    <t>Заказано в срочных закупках</t>
  </si>
  <si>
    <t>Набор SMD светодиодов 0805</t>
  </si>
  <si>
    <t>https://aliexpress.ru/item/4000927720241.html?sku_id=10000011261540772&amp;spm=a2g2w.productlist.search_results.0.40692c62hY0Cp8</t>
  </si>
  <si>
    <t>https://www.chipdip.ru/product/dg127-5.0-02p-14-00z-h-klemmnik-vintovoy-degson-9000273919</t>
  </si>
  <si>
    <t>Набор SMD резисторов 0805</t>
  </si>
  <si>
    <t>https://aliexpress.ru/item/1005008672767761.html?sku_id=12000046182343543&amp;spm=a2g2w.productlist.search_results.8.4c025278ELyP43</t>
  </si>
  <si>
    <t>Клеммник WJ128-5.0-03P-14-00A</t>
  </si>
  <si>
    <t>https://www.chipdip.ru/product/wj128-5.0-03p-14-00a-klemmnik-3-kontaktnyy-5mm-wanjie-9001726974?from=similar_product_auto</t>
  </si>
  <si>
    <t>Контакт Phoenix FMC1.5/2-ST-3.5</t>
  </si>
  <si>
    <t>https://aliexpress.ru/item/1005010170377980.html?sku_id=12000051393480328&amp;spm=a2g2w.productlist.search_results.12.35504640RAo9Ud</t>
  </si>
  <si>
    <t>Поискать дешевле (есть на чип и дипе по поиску клеммник на плату)</t>
  </si>
  <si>
    <t>Контакт Phoenix MCV0,5/-G-2,5</t>
  </si>
  <si>
    <t>https://aliexpress.ru/item/1005007936821716.html?sku_id=12000042948117321&amp;spm=a2g2w.productlist.search_results.5.3c6a1348XH5Yii</t>
  </si>
  <si>
    <r>
      <t xml:space="preserve">2 ссылка
</t>
    </r>
    <r>
      <rPr>
        <u/>
        <sz val="10"/>
        <color rgb="FF1155CC"/>
        <rFont val="Arial"/>
      </rPr>
      <t>https://aliexpress.ru/item/1005006243320197.html?sku_id=12000036439768503&amp;spm=a2g2w.productlist.search_results.4.3c6a1348XH5Yii</t>
    </r>
  </si>
  <si>
    <r>
      <t xml:space="preserve">угловые:
</t>
    </r>
    <r>
      <rPr>
        <u/>
        <sz val="10"/>
        <color rgb="FF1155CC"/>
        <rFont val="Arial"/>
      </rPr>
      <t>https://aliexpress.ru/item/1005008329876592.html?spm=a2g2w.detail.rcmdprod.4.58665fa4PGuOLg&amp;mixer_rcmd_bucket_id=UnknownMixerAbId&amp;pdp_trigger_item_id=0_1005006243320197&amp;ru_algo_pv_id=6b8439-61b690-a3286b-e5fb74-1762902000&amp;scenario=aerSimilarItemPdpRcmd&amp;sku_id=12000044620671963&amp;traffic_source=recommendation&amp;type_rcmd=core</t>
    </r>
  </si>
  <si>
    <t>https://aliexpress.ru/item/1005007412951961.html?sku_id=12000040649829798&amp;spm=a2g2w.productlist.search_results.14.a49026f5Fo1JO1</t>
  </si>
  <si>
    <t>https://aliexpress.ru/item/1005005688237757.html?sku_id=12000034046857610&amp;spm=a2g2w.productlist.search_results.15.a49026f5Fo1JO1</t>
  </si>
  <si>
    <t>Заказано в закупка PCB финал</t>
  </si>
  <si>
    <t>https://aliexpress.ru/item/1005003533838295.html?sku_id=12000026201357966&amp;spm=a2g2w.productlist.search_results.2.25bb6d94BOt3Xd</t>
  </si>
  <si>
    <t>Коннектор Screw Terminal Block Connector Pitch Plug+Straight</t>
  </si>
  <si>
    <t>https://aliexpress.ru/item/1005009322841612.html?spm=a2g2w.detail.rcmdprod.74.55bb1b564YN0wW&amp;mixer_rcmd_bucket_id=UnknownMixerAbId&amp;pdp_trigger_item_id=0_1005009633657082&amp;ru_algo_pv_id=6b8439-476f2e-d7f511-a22912-1765112400&amp;scenario=pcDetailBottomMoreOtherSeller&amp;sku_id=12000048749466974&amp;traffic_source=recommendation&amp;type_rcmd=core</t>
  </si>
  <si>
    <t>Заказано в закупка PCB финал (набор 10 шт)</t>
  </si>
  <si>
    <t>DC Converter MICRO BEC 12S, 6-60V to 5-12V 2A</t>
  </si>
  <si>
    <t>Набор 660 шт</t>
  </si>
  <si>
    <t>BLX-A держатель предохранителя 5x20 мм</t>
  </si>
  <si>
    <t>SMD индуктивность 10 мкГн</t>
  </si>
  <si>
    <t>SMD индуктивность 47 мкГн</t>
  </si>
  <si>
    <t>SMD диод выпрямительный 75В 0,25А</t>
  </si>
  <si>
    <t>Заказано в закупка PCB финал (Набор 50 шт)</t>
  </si>
  <si>
    <t xml:space="preserve">Набор клемм XH2.54 </t>
  </si>
  <si>
    <t>Заказано в закупка PCB финал (Набор 500 шт)</t>
  </si>
  <si>
    <t>Микросхема ESD защиты NUP4114HMR6T1G</t>
  </si>
  <si>
    <t>Набор цветных джамперов 2.54 мм</t>
  </si>
  <si>
    <t>Набор 25 штук</t>
  </si>
  <si>
    <t>Силиконовый USB-Type C кабель 2 м</t>
  </si>
  <si>
    <t>Силиконовый USB-Type C кабель 1 м</t>
  </si>
  <si>
    <t>Силиконовый USB-Micro USB кабель 1 м</t>
  </si>
  <si>
    <t>Кабель сигнальной проводки экранированный гибкий RVVP 2 м</t>
  </si>
  <si>
    <t>2 кабеля по 2 м</t>
  </si>
  <si>
    <t>Электромагнитное реле на печатную плату R2G2CH005</t>
  </si>
  <si>
    <t>Набор нейлоновых стоек на печатную плату M3</t>
  </si>
  <si>
    <t>Набор металлических стоек на печатную плату M3</t>
  </si>
  <si>
    <t>Концевики с роликовым переключателем</t>
  </si>
  <si>
    <t>Заказано в закупка PCB финал (Набор 10 штук)</t>
  </si>
  <si>
    <t>Концевики с рычагом 16 мм</t>
  </si>
  <si>
    <t>Набор 5 штук</t>
  </si>
  <si>
    <t>DIP переключатели 6 pin</t>
  </si>
  <si>
    <t>DIP переключатели 3 pin</t>
  </si>
  <si>
    <t>DIP переключатели 4 pin</t>
  </si>
  <si>
    <t>DIP переключатели 5 pin</t>
  </si>
  <si>
    <t>Паяльная паста низкотемпературная</t>
  </si>
  <si>
    <t>Держатель платы 6.4 мм L-KLS8-0201-CS-0406</t>
  </si>
  <si>
    <t>Заказано в закупка PCB финал (В наборе много штук)</t>
  </si>
  <si>
    <t>Mini560 PRO 5.5-32V in 3.3V 5A</t>
  </si>
  <si>
    <t>На тесты (для сим)</t>
  </si>
  <si>
    <t>Магниты 10*3 под винт m3</t>
  </si>
  <si>
    <t>Кнопки для сим синие блокирующиеся</t>
  </si>
  <si>
    <t>Гайка нейлоновая М3</t>
  </si>
  <si>
    <t>Заказано в закупка PCB финал (Набор 100 шт)</t>
  </si>
  <si>
    <t>Винт DIN 7991 M2x10 для магнитов</t>
  </si>
  <si>
    <t>Заказано в закупка PCB финал (Набор 5 шт)</t>
  </si>
  <si>
    <t>Заказано в закупка PCB финал (Набор много штук)</t>
  </si>
  <si>
    <t>Держатель SMD предохранителя</t>
  </si>
  <si>
    <t>3 шт</t>
  </si>
  <si>
    <t>Датчик линии Pololu QTR-HD-09A, 9-канальный, 4мм шаг, аналоговый выход</t>
  </si>
  <si>
    <t>https://robototehnika.ru/e-store/catalog/411/2348/</t>
  </si>
  <si>
    <t>Датчик расстояния лазерный VL53L0X-V2</t>
  </si>
  <si>
    <t>https://ozon.ru/t/7ivUEbv</t>
  </si>
  <si>
    <t>12 шт</t>
  </si>
  <si>
    <t>esp32 + board</t>
  </si>
  <si>
    <t>https://ozon.ru/t/sYbUkFV</t>
  </si>
  <si>
    <t>Драйвер моторов MX1508</t>
  </si>
  <si>
    <t>https://ozon.ru/t/Gvsapoj</t>
  </si>
  <si>
    <t>Миниатюрный мотор-редуктор JGA12-N20 3В/6В/12В 3V50 6V100 12V200</t>
  </si>
  <si>
    <t>https://sl.aliexpress.ru/p?key=0XxqVB7</t>
  </si>
  <si>
    <t>BRINGSMART двигатель постоянного тока JGY-370B</t>
  </si>
  <si>
    <t>https://sl.aliexpress.ru/p?key=P1xqVjN</t>
  </si>
  <si>
    <t>переключатели 20 шт.</t>
  </si>
  <si>
    <t>https://ozon.ru/t/ZJ5dFbg</t>
  </si>
  <si>
    <t xml:space="preserve">зарядное для аккумуляторов </t>
  </si>
  <si>
    <t>https://www.wildberries.ru/catalog/242467113/detail.aspx?utm_source=yandex&amp;utm_medium=feed&amp;utm_campaign=feed</t>
  </si>
  <si>
    <t>Лучше с ВБ, т.к быстро доставят + самая низкая цена</t>
  </si>
  <si>
    <t>dc-dc преобразователь</t>
  </si>
  <si>
    <t>https://ali.click/1xsxpt</t>
  </si>
  <si>
    <t>7 шт</t>
  </si>
  <si>
    <t>Вольтметр цифровой</t>
  </si>
  <si>
    <t>Учтены на листе Электроника</t>
  </si>
  <si>
    <t>Цифровые сервоприводы Bolantedz SG90 MG90 MG90S MG995 MG996</t>
  </si>
  <si>
    <t>https://ali.click/f88kpu</t>
  </si>
  <si>
    <t>Метизы</t>
  </si>
  <si>
    <t>https://ali.click/wd8kps</t>
  </si>
  <si>
    <t>Винты + гайки</t>
  </si>
  <si>
    <t>Держатель для предохранителя</t>
  </si>
  <si>
    <t>https://ali.click/gdv1pd</t>
  </si>
  <si>
    <t>Тут набор 10 шт</t>
  </si>
  <si>
    <t>Клеммы WAGO</t>
  </si>
  <si>
    <t>https://ali.click/7jr1ph</t>
  </si>
  <si>
    <t>Переключатель синего цвета</t>
  </si>
  <si>
    <t>https://ali.click/n41npg</t>
  </si>
  <si>
    <t>Для смены стороны</t>
  </si>
  <si>
    <t>холдеры для аккумуляторов 2 набора</t>
  </si>
  <si>
    <t>https://ali.click/4ytxp8</t>
  </si>
  <si>
    <t>набор аккумуляторов lifepo4 8-16 штук</t>
  </si>
  <si>
    <t>https://ali.click/vzsxp7</t>
  </si>
  <si>
    <t>8 аккумов</t>
  </si>
  <si>
    <t>Колесо для N20 43мм</t>
  </si>
  <si>
    <t>https://amperkot.ru/products/koleso_dlya_n20_43mm/24254832.html</t>
  </si>
  <si>
    <t>дополнительные гайки</t>
  </si>
  <si>
    <t>https://ali.click/oc9q11d</t>
  </si>
  <si>
    <t>аккумуляторы lifepo4 18650, 8 шт</t>
  </si>
  <si>
    <t>https://ozon.ru/t/ho0rRkH</t>
  </si>
  <si>
    <t>Сервопривод микро SG92R</t>
  </si>
  <si>
    <t>amperkot</t>
  </si>
  <si>
    <t>Чехол противопожарный для Li-ion аккумуляторов</t>
  </si>
  <si>
    <t>Ремень зубчатый GT2 6 мм замкнутый</t>
  </si>
  <si>
    <t>Длина: 124 мм, 178 мм, 180 мм</t>
  </si>
  <si>
    <t>Кулисный переключатель KCD1 6А/10А 250В/125В</t>
  </si>
  <si>
    <t>https://ali.click/c7pb41u</t>
  </si>
  <si>
    <t>Миниатюрный мотор-редуктор JGA12-N20 3В/6В/12В</t>
  </si>
  <si>
    <t>https://ali.click/gbpb414</t>
  </si>
  <si>
    <t>4 шт.</t>
  </si>
  <si>
    <t>ESP32-DevKitC-32 плата расширения</t>
  </si>
  <si>
    <t>https://ali.click/rdpb41g</t>
  </si>
  <si>
    <t>Длина: 174 мм, 176 мм</t>
  </si>
  <si>
    <t>https://amperkot.ru/msk/catalog/miniatyurnyiy_tsifrovoy_voltmetr_postoyannogo_toka_dc_0100v__tsvet_krasnyiy-39783435.html</t>
  </si>
  <si>
    <t>Лазерная резка листовых элементов</t>
  </si>
  <si>
    <t>KARCHER WD 3 P S V-17/4/20(1.628-190.0)</t>
  </si>
  <si>
    <t>https://ozon.ru/t/l7TIjuD</t>
  </si>
  <si>
    <t>SmartBuy 256 ГБ Внутренний SSD-диск (SBSSD256-STE14-M2P3)</t>
  </si>
  <si>
    <t>ПЛА пластик для 3д печтати PLA для 3D принтера Element 3D 1.75мм, 1 кг, черный</t>
  </si>
  <si>
    <t>https://ozon.ru/t/ULftcmU</t>
  </si>
  <si>
    <t>2440.5 Чипдип</t>
  </si>
  <si>
    <t>PETG пластик для 3д печтати ПЕТГ для 3D принтера Element 3D 1.75мм, 1 кг, непрозрачный черный</t>
  </si>
  <si>
    <t>https://ozon.ru/t/7iHfLuo</t>
  </si>
  <si>
    <t>29497 Озон</t>
  </si>
  <si>
    <t>Проводящая медная лента из фольги, ширина 20 мм, длина 20 метров</t>
  </si>
  <si>
    <t>https://ozon.ru/t/7iHfyYM</t>
  </si>
  <si>
    <t>Двухсторонний скотч прозрачный 3 шт х 5м / клейкая лента / размеры 5м-3см-1мм</t>
  </si>
  <si>
    <t>https://ozon.ru/t/T8wDYs1</t>
  </si>
  <si>
    <t>Подшипник SKF 696 2Z КОМПЛЕКТ 2 ШТУКИ 6*15*5 мм аналог 619/6; 1080096</t>
  </si>
  <si>
    <t>https://ozon.ru/t/IFn1MTo</t>
  </si>
  <si>
    <t>Супер клей космофен, cosmofen CA 12, COSMO CA-500.200</t>
  </si>
  <si>
    <t>https://ozon.ru/t/jhp13lF</t>
  </si>
  <si>
    <t>Резина листовая, настил/техпластина для изготовления прокладок 1мм 200х200мм ТМКЩ-С</t>
  </si>
  <si>
    <t>https://ozon.ru/t/8DWRdur</t>
  </si>
  <si>
    <t>Ремень зубчатый замкнутый 300-2GT-6 длина 300мм ширина 6мм для 3D-принтеров (GT2)</t>
  </si>
  <si>
    <t>https://ozon.ru/t/quv9NAN</t>
  </si>
  <si>
    <t>Фанера 3 мм, сорт 2/2, 300х400мм, 5 листов</t>
  </si>
  <si>
    <t>Лента липучка самоклеящаяся, длина 2 метра / Липучка самоклеющаяся контактная велкро на клеевой основе для штор москитной сетки</t>
  </si>
  <si>
    <t>https://ozon.ru/t/l7TArSF</t>
  </si>
  <si>
    <t>Набор отверток и бит для точных работ Набор инструментов для ремонта ПК, телефонов, ноутбуков Ручной инструмент для дома и автомобиля</t>
  </si>
  <si>
    <t>https://ozon.ru/t/l7Tp8VR</t>
  </si>
  <si>
    <t>Набор ножниц</t>
  </si>
  <si>
    <t>https://www.ozon.ru/product/nozhnitsy-dlya-rukodeliya-kantselyarskie-universalnye-dlya-bumagi-kartona-i-rukodeliya-nabor-3-1474750032/?utm_medium=organic&amp;utm_source=yandex_serp_products</t>
  </si>
  <si>
    <t>Электроника</t>
  </si>
  <si>
    <t>Набор 2 штуки</t>
  </si>
  <si>
    <t>На тесты (для сим) - набор 5 штук</t>
  </si>
  <si>
    <t>50 штук для крепления печатных плат</t>
  </si>
  <si>
    <t xml:space="preserve">10 штук, поменьше, если вдруг первые не подойдут </t>
  </si>
  <si>
    <t>Литиевые батарейки ФОТОН CR2032 BP3 3 шт. + кейс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</si>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</sst>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theme="1"/>
      <name val="Arial"/>
      <scheme val="minor"/>
    </font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4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4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7" borderId="0" xfId="0" applyFont="1" applyFill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1" fillId="2" borderId="1" xfId="0" applyFont="1" applyFill="1" applyBorder="1" applyAlignment="1">
      <alignment horizontal="center" vertical="center" wrapText="1"/>
    </xf>
    <xf numFmtId="4" fontId="21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wrapText="1"/>
    </xf>
    <xf numFmtId="0" fontId="23" fillId="3" borderId="1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vseinstrumenti.ru/product/neodimovyj-magnit-prof-magnit-s-zenkovkoj-8xd3x2-10sht-ndfeb-d8x3x2-zenk-2100451/?utm_referrer=https://www.google.com/" TargetMode="External"/><Relationship Id="rId18" Type="http://schemas.openxmlformats.org/officeDocument/2006/relationships/hyperlink" Target="https://www.chipdip.ru/product/sm6t12ca-zaschitnyy-diod-dvunapravlennyy-600vt-12v-sunmate-9001052841" TargetMode="External"/><Relationship Id="rId26" Type="http://schemas.openxmlformats.org/officeDocument/2006/relationships/hyperlink" Target="https://aliexpress.ru/item/1005002798436987.html?spm=a2g2w.detail.rcmdprod.3.c73d384c8N16vx&amp;mixer_rcmd_bucket_id=UnknownMixerAbId&amp;pdp_trigger_item_id=0_1005008715576069&amp;ru_algo_pv_id=6b8439-61b690-fa96da-dc5aa0-1768658400&amp;scenario=aerSimilarItemPdpRcmd&amp;shpMethod=CAINIAO_STANDARD&amp;sku_id=12000022235210635&amp;traffic_source=recommendation&amp;type_rcmd=core" TargetMode="External"/><Relationship Id="rId39" Type="http://schemas.openxmlformats.org/officeDocument/2006/relationships/hyperlink" Target="https://www.chipdip.ru/product/komparator-lm393adr-dip-8-umw-8059235507" TargetMode="External"/><Relationship Id="rId21" Type="http://schemas.openxmlformats.org/officeDocument/2006/relationships/hyperlink" Target="https://www.chipdip.ru/product/max40203auk-t-kommutator-analogovyh-signalov-sot235-maxim-8056449059" TargetMode="External"/><Relationship Id="rId34" Type="http://schemas.openxmlformats.org/officeDocument/2006/relationships/hyperlink" Target="https://aliexpress.ru/item/1005004589771995.html?shpMethod=CAINIAO_SUPER_ECONOMY&amp;sku_id=12000029743999348&amp;spm=a2g2w.productlist.search_results.4.579f411a6Ka85S" TargetMode="External"/><Relationship Id="rId42" Type="http://schemas.openxmlformats.org/officeDocument/2006/relationships/hyperlink" Target="https://www.chipdip.ru/product/pbd-20r-ds-1024-2x10-r-gnezdo-na-platu-2.54mm-2x10pin-connfly-50103" TargetMode="External"/><Relationship Id="rId47" Type="http://schemas.openxmlformats.org/officeDocument/2006/relationships/hyperlink" Target="https://www.chipdip.ru/product/dg127-5.0-02p-14-00z-h-klemmnik-vintovoy-degson-9000273919" TargetMode="External"/><Relationship Id="rId50" Type="http://schemas.openxmlformats.org/officeDocument/2006/relationships/hyperlink" Target="https://www.chipdip.ru/product/max40203auk-t-kommutator-analogovyh-signalov-sot235-maxim-8056449059" TargetMode="External"/><Relationship Id="rId55" Type="http://schemas.openxmlformats.org/officeDocument/2006/relationships/hyperlink" Target="https://aliexpress.ru/item/1005009067400158.html?spm=a2g2w.detail.rcmdprod.52.2f15285cIQ0Y7U&amp;mixer_rcmd_bucket_id=controlRu1&amp;pdp_trigger_item_id=0_1005009075464082&amp;ru_algo_pv_id=838527-476f2e-3f4c24-7ea526-1772748000&amp;scenario=pcDetailBottomMoreOtherSeller&amp;sku_id=12000047799685524&amp;traffic_source=recommendation&amp;type_rcmd=core" TargetMode="External"/><Relationship Id="rId7" Type="http://schemas.openxmlformats.org/officeDocument/2006/relationships/hyperlink" Target="https://www.ozon.ru/product/nakonechnik-dlya-provodov-seryy-e0506-0-5mm2-terminal-tipa-e-kabelnyy-500-shtuk-2789735975/?at=OgtEQLwP3FYqnynGco9JMpkCxRVY6vF9g7wNgsDE9J8j" TargetMode="External"/><Relationship Id="rId2" Type="http://schemas.openxmlformats.org/officeDocument/2006/relationships/hyperlink" Target="https://aliexpress.ru/item/1005009322841612.html?spm=a2g2w.detail.rcmdprod.74.55bb1b564YN0wW&amp;mixer_rcmd_bucket_id=UnknownMixerAbId&amp;pdp_trigger_item_id=0_1005009633657082&amp;ru_algo_pv_id=6b8439-476f2e-d7f511-a22912-1765112400&amp;scenario=pcDetailBottomMoreOtherSeller&amp;sku_id=12000048749466974&amp;traffic_source=recommendation&amp;type_rcmd=core" TargetMode="External"/><Relationship Id="rId16" Type="http://schemas.openxmlformats.org/officeDocument/2006/relationships/hyperlink" Target="https://www.chipdip.ru/product/sm6t39ca-zaschitnyy-diod-dvunapravlennyy-600vt-39v-sunmate-9001579486" TargetMode="External"/><Relationship Id="rId20" Type="http://schemas.openxmlformats.org/officeDocument/2006/relationships/hyperlink" Target="https://www.chipdip.ru/product/sm6t18ca-zaschitnyy-diod-dvunapravlennyy-600vt-18v-sunmate-9001579481" TargetMode="External"/><Relationship Id="rId29" Type="http://schemas.openxmlformats.org/officeDocument/2006/relationships/hyperlink" Target="https://www.chipdip.ru/product/1n5817-diod-shottki-20v-1a-25a-do-41-sunmate-9001132578?from=visited_product" TargetMode="External"/><Relationship Id="rId41" Type="http://schemas.openxmlformats.org/officeDocument/2006/relationships/hyperlink" Target="https://www.chipdip.ru/product/max809r-formirovatel-impulsa-sbrosa-2.63v-sot-23-3-umw-9001067619" TargetMode="External"/><Relationship Id="rId54" Type="http://schemas.openxmlformats.org/officeDocument/2006/relationships/hyperlink" Target="https://aliexpress.ru/item/1005005872938104.html?shpMethod=CAINIAO_STANDARD&amp;sku_id=12000034654506458&amp;spm=a2g2w.productlist.search_results.0.6e42509cSZiSQ1" TargetMode="External"/><Relationship Id="rId62" Type="http://schemas.openxmlformats.org/officeDocument/2006/relationships/hyperlink" Target="https://www.chipdip.ru/product/20n06-tranzistor-n-mosfet-60v-20a-to-252-umw-9001106020" TargetMode="External"/><Relationship Id="rId1" Type="http://schemas.openxmlformats.org/officeDocument/2006/relationships/hyperlink" Target="https://aliexpress.ru/item/1005009322841612.html?spm=a2g2w.detail.rcmdprod.74.55bb1b564YN0wW&amp;mixer_rcmd_bucket_id=UnknownMixerAbId&amp;pdp_trigger_item_id=0_1005009633657082&amp;ru_algo_pv_id=6b8439-476f2e-d7f511-a22912-1765112400&amp;scenario=pcDetailBottomMoreOtherSeller&amp;sku_id=12000048749466975&amp;traffic_source=recommendation&amp;type_rcmd=core" TargetMode="External"/><Relationship Id="rId6" Type="http://schemas.openxmlformats.org/officeDocument/2006/relationships/hyperlink" Target="https://www.ozon.ru/product/nakonechnik-dlya-provodov-krasnyy-e0506-0-5mm2-terminal-tipa-e-kabelnyy-500-shtuk-2789745888/?at=gpt4Q1Ng8cApzM4mTY6wXB7C1qMn1KHmRvAk8IBW1ryz" TargetMode="External"/><Relationship Id="rId11" Type="http://schemas.openxmlformats.org/officeDocument/2006/relationships/hyperlink" Target="https://aliexpress.ru/item/1005008954878549.html?shpMethod=CAINIAO_STANDARD&amp;sku_id=12000047353473420&amp;spm=a2g2w.productlist.search_results.0.140b7900rbLU0X" TargetMode="External"/><Relationship Id="rId24" Type="http://schemas.openxmlformats.org/officeDocument/2006/relationships/hyperlink" Target="https://aliexpress.ru/item/1005006409774999.html?shpMethod=CAINIAO_STANDARD&amp;sku_id=12000048106500458&amp;spm=a2g2w.productlist.search_results.18.2c5a62d12iQSop" TargetMode="External"/><Relationship Id="rId32" Type="http://schemas.openxmlformats.org/officeDocument/2006/relationships/hyperlink" Target="https://www.chipdip.ru/product/usba-2j-ds1096-w-rozetka-dvoynaya-na-platu-tip-a-connfly-374109635" TargetMode="External"/><Relationship Id="rId37" Type="http://schemas.openxmlformats.org/officeDocument/2006/relationships/hyperlink" Target="https://www.chipdip.ru/product/pbd-80-ds1023-2x40-gnezdo-na-platu-2.54mm-2x40pin-connfly-39801" TargetMode="External"/><Relationship Id="rId40" Type="http://schemas.openxmlformats.org/officeDocument/2006/relationships/hyperlink" Target="https://www.chipdip.ru/product/78m05-stabilizator-napryazheniya-5v-1a-dpak-umw-9001169175" TargetMode="External"/><Relationship Id="rId45" Type="http://schemas.openxmlformats.org/officeDocument/2006/relationships/hyperlink" Target="https://ozon.ru/t/QiFFcLT" TargetMode="External"/><Relationship Id="rId53" Type="http://schemas.openxmlformats.org/officeDocument/2006/relationships/hyperlink" Target="https://aliexpress.ru/item/1005007859232349.html?sku_id=12000042569617669&amp;spm=a2g2w.productlist.search_results.14.22255d58RPRPQ5" TargetMode="External"/><Relationship Id="rId58" Type="http://schemas.openxmlformats.org/officeDocument/2006/relationships/hyperlink" Target="https://ozon.ru/t/d7sDMZI" TargetMode="External"/><Relationship Id="rId5" Type="http://schemas.openxmlformats.org/officeDocument/2006/relationships/hyperlink" Target="https://www.ozon.ru/product/50sht-klemmnaya-kolodka-dg308-kf128-2-54-mm-2-3-4p-komplekt-vintovyh-razemov-dlya-2903552535/?at=NOtwykK5pc43NmoVIoZxZxZHMRvMEluALKPA0SN3OAJX" TargetMode="External"/><Relationship Id="rId15" Type="http://schemas.openxmlformats.org/officeDocument/2006/relationships/hyperlink" Target="https://www.chipdip.ru/product/sm6t30a-zaschitnyy-diod-600vt-30v-smb-do-214aa-sunmate-9001052842" TargetMode="External"/><Relationship Id="rId23" Type="http://schemas.openxmlformats.org/officeDocument/2006/relationships/hyperlink" Target="https://ali.click/14u5w3" TargetMode="External"/><Relationship Id="rId28" Type="http://schemas.openxmlformats.org/officeDocument/2006/relationships/hyperlink" Target="https://aliexpress.ru/item/1005001621750676.html?shpMethod=CAINIAO_ECONOMY&amp;sku_id=12000016846590256&amp;spm=a2g2w.productlist.search_results.4.7cc57e6el44OYI" TargetMode="External"/><Relationship Id="rId36" Type="http://schemas.openxmlformats.org/officeDocument/2006/relationships/hyperlink" Target="https://ozon.ru/t/AFpw8cb" TargetMode="External"/><Relationship Id="rId49" Type="http://schemas.openxmlformats.org/officeDocument/2006/relationships/hyperlink" Target="https://www.chipdip.ru/product/pd9-2-pereklyuchatel-dvizhkovyy-57698" TargetMode="External"/><Relationship Id="rId57" Type="http://schemas.openxmlformats.org/officeDocument/2006/relationships/hyperlink" Target="https://ali.click/ros441h" TargetMode="External"/><Relationship Id="rId61" Type="http://schemas.openxmlformats.org/officeDocument/2006/relationships/hyperlink" Target="https://www.chipdip.ru/product/sm6t30a-zaschitnyy-diod-600vt-30v-smb-do-214aa-sunmate-9001052842" TargetMode="External"/><Relationship Id="rId10" Type="http://schemas.openxmlformats.org/officeDocument/2006/relationships/hyperlink" Target="https://market.yandex.ru/card/klemmy-lt-22-05-do-25-mm-bystrozazhimnyye-2-kh-kontaktnyye-soyedinitelnyye-dlya-provodov-10-par/4351115710?do-waremd5=bT8mHymssq5_Nn7l_9ailw&amp;cpc=Kuoi9dA1yLk7_mYXtR6e-olZdqSP_q7AiyUOEtSpXwgnoQVJxtZzk3hzizk4K6reAC41ystZudFgmkNHB04BijJTIPukje-TWiT9tApVHhUOFoDaVY18ST8XAXy5WQeZvof0zOFXH-p_kyTzjzJqj8vUqWmwGJCfyLKqyC2ttPzYtpDg9eeIVm_n3Ep_-RBAoU_Y4yI_OVbUWQRydKy6GjmcJQug-RzQ33rHd0FiYqGqe4_CaEUq_GFz51l4RsmKbjWn0EwbwHZW6nyKfZHbeM3JaixypSixvilzO_2Z6zdtsNCdslCDMXpYl0WA_PqNxcvQoj_mLuULlGlrT57KKakpYElzs9gzPCsCmlrKX4_xc7Lui_oG1XFdUayaFIchEDOB7HTmTpHoQ9XWK8B1Kv9VyvLJYR4jMBppWnBt9Yon92KPaTTd3E2cp02CZXgp&amp;ogV=-8" TargetMode="External"/><Relationship Id="rId19" Type="http://schemas.openxmlformats.org/officeDocument/2006/relationships/hyperlink" Target="https://www.chipdip.ru/product/sm6t18a-zaschitnyy-diod-600vt-18v-smb-do-214aa-lp-sunmate-9001579480" TargetMode="External"/><Relationship Id="rId31" Type="http://schemas.openxmlformats.org/officeDocument/2006/relationships/hyperlink" Target="https://www.chipdip.ru/product/1.5ke10a-diod-zaschitnyy-1500vt-10v-sunmate-9001138983" TargetMode="External"/><Relationship Id="rId44" Type="http://schemas.openxmlformats.org/officeDocument/2006/relationships/hyperlink" Target="https://aliexpress.ru/item/32669811873.html?shpMethod=CAINIAO_STANDARD&amp;sku_id=60040942265&amp;spm=a2g2w.productlist.search_results.1.44b827ccTcOoA2" TargetMode="External"/><Relationship Id="rId52" Type="http://schemas.openxmlformats.org/officeDocument/2006/relationships/hyperlink" Target="https://www.chipdip.ru/product/20n06-tranzistor-n-mosfet-60v-20a-to-252-umw-9001106020" TargetMode="External"/><Relationship Id="rId60" Type="http://schemas.openxmlformats.org/officeDocument/2006/relationships/hyperlink" Target="https://www.chipdip.ru/product/r2g2ch005-rele-miniatyurnoe-2per-5vdc-8a-250vac-shenler-9001108232" TargetMode="External"/><Relationship Id="rId4" Type="http://schemas.openxmlformats.org/officeDocument/2006/relationships/hyperlink" Target="https://aliexpress.ru/item/1005003533838295.html?sku_id=12000026201357966&amp;spm=a2g2w.productlist.search_results.2.25bb6d94BOt3Xd" TargetMode="External"/><Relationship Id="rId9" Type="http://schemas.openxmlformats.org/officeDocument/2006/relationships/hyperlink" Target="https://www.ozon.ru/product/200-sht-bystro-pereklyuchayushchiysya-diod-shottki-komplekt-1n4001-1n4004-1n4007-1n5408-uf4007-2831007324/?at=08tYwQ0zDc16Owp1FV7K2YoI1MzQ02TZyV4oJUZJRk6W" TargetMode="External"/><Relationship Id="rId14" Type="http://schemas.openxmlformats.org/officeDocument/2006/relationships/hyperlink" Target="https://www.chipdip.ru/product/ds1040-07rn-dip-pereklyuchatel-7pin-krasnyy-connfly-9000190959" TargetMode="External"/><Relationship Id="rId22" Type="http://schemas.openxmlformats.org/officeDocument/2006/relationships/hyperlink" Target="https://aliexpress.ru/item/1005004874541019.html?shpMethod=CAINIAO_STANDARD&amp;sku_id=12000030845385126&amp;spm=a2g2w.productlist.search_results.4.5c49bcc15Awm54" TargetMode="External"/><Relationship Id="rId27" Type="http://schemas.openxmlformats.org/officeDocument/2006/relationships/hyperlink" Target="https://aliexpress.ru/item/1005008566481432.html?shpMethod=CAINIAO_STANDARD&amp;sku_id=12000045748924114&amp;spm=a2g2w.productlist.search_results.17.917d7d08bXUwCC" TargetMode="External"/><Relationship Id="rId30" Type="http://schemas.openxmlformats.org/officeDocument/2006/relationships/hyperlink" Target="https://www.chipdip.ru/product/xt60pw-m-amass-8004121152" TargetMode="External"/><Relationship Id="rId35" Type="http://schemas.openxmlformats.org/officeDocument/2006/relationships/hyperlink" Target="https://aliexpress.ru/item/1005007302936724.html?shpMethod=CAINIAO_STANDARD&amp;sku_id=12000040137838659&amp;spm=a2g2w.productlist.search_results.15.30f812ad01rIry" TargetMode="External"/><Relationship Id="rId43" Type="http://schemas.openxmlformats.org/officeDocument/2006/relationships/hyperlink" Target="https://amperkot.ru/msk/catalog/interfeysnaya_plata_waveshare_usb3300_s_podderzhkoy_interfeysa_ulpi-39327458.html?utm_source=YandexMarket&amp;utm_campaign=YandexMarket&amp;utm_medium=cpc" TargetMode="External"/><Relationship Id="rId48" Type="http://schemas.openxmlformats.org/officeDocument/2006/relationships/hyperlink" Target="https://www.chipdip.ru/product/kls5-242-derzhatel-predohranitelya-5x20-s-kryshkoy-9000673100" TargetMode="External"/><Relationship Id="rId56" Type="http://schemas.openxmlformats.org/officeDocument/2006/relationships/hyperlink" Target="https://ozon.ru/t/3hF8KDr" TargetMode="External"/><Relationship Id="rId8" Type="http://schemas.openxmlformats.org/officeDocument/2006/relationships/hyperlink" Target="https://aliexpress.ru/item/1_103695548.html?sku_id=5000000247497414&amp;spm=a2g2w.productlist.search_results.9.4cdf7355AbRyfA" TargetMode="External"/><Relationship Id="rId51" Type="http://schemas.openxmlformats.org/officeDocument/2006/relationships/hyperlink" Target="https://www.chipdip.ru/product/2n7002p-215-tranzistor-n-mop-polevoy-60v-280ma-nexperia-8048099444" TargetMode="External"/><Relationship Id="rId3" Type="http://schemas.openxmlformats.org/officeDocument/2006/relationships/hyperlink" Target="https://aliexpress.ru/item/1005005688237757.html?sku_id=12000034046857612&amp;spm=a2g2w.productlist.search_results.15.a49026f5Fo1JO1" TargetMode="External"/><Relationship Id="rId12" Type="http://schemas.openxmlformats.org/officeDocument/2006/relationships/hyperlink" Target="https://aliexpress.ru/item/1005006033136137.html?shpMethod=CAINIAO_SUPER_ECONOMY&amp;sku_id=12000035410789735&amp;spm=a2g2w.productlist.search_results.4.65035a71KFkhDL" TargetMode="External"/><Relationship Id="rId17" Type="http://schemas.openxmlformats.org/officeDocument/2006/relationships/hyperlink" Target="https://www.chipdip.ru/product/sm6t12a-zaschitnyy-diod-600vt-12v-smb-do-214aa-kx-sunmate-9001579478" TargetMode="External"/><Relationship Id="rId25" Type="http://schemas.openxmlformats.org/officeDocument/2006/relationships/hyperlink" Target="https://aliexpress.ru/item/1005002798436987.html?spm=a2g2w.detail.rcmdprod.3.c73d384c8N16vx&amp;mixer_rcmd_bucket_id=UnknownMixerAbId&amp;pdp_trigger_item_id=0_1005008715576069&amp;ru_algo_pv_id=6b8439-61b690-fa96da-dc5aa0-1768658400&amp;scenario=aerSimilarItemPdpRcmd&amp;shpMethod=CAINIAO_STANDARD&amp;sku_id=12000022235210637&amp;traffic_source=recommendation&amp;type_rcmd=core" TargetMode="External"/><Relationship Id="rId33" Type="http://schemas.openxmlformats.org/officeDocument/2006/relationships/hyperlink" Target="https://www.chipdip.ru/product/usba-1js-ds1095-10-rozetka-na-platu-pryamaya-tip-a-connfly-9000024745" TargetMode="External"/><Relationship Id="rId38" Type="http://schemas.openxmlformats.org/officeDocument/2006/relationships/hyperlink" Target="https://www.chipdip.ru/product/lm317aemp-nopb-reguliruemyy-stabilizator-texas-instruments-2641734645" TargetMode="External"/><Relationship Id="rId46" Type="http://schemas.openxmlformats.org/officeDocument/2006/relationships/hyperlink" Target="https://www.ozon.ru/product/razem-jst-xh-2-54-mm-6pin-b6b-xh-2-nabor-20-sht-2288404397/?at=PjtJmNEjYc6oqnPMtNBWnqwfGr73zWTj7nAoBiD9YjqM" TargetMode="External"/><Relationship Id="rId59" Type="http://schemas.openxmlformats.org/officeDocument/2006/relationships/hyperlink" Target="https://ali.click/be7551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li.click/jj9uw2" TargetMode="External"/><Relationship Id="rId18" Type="http://schemas.openxmlformats.org/officeDocument/2006/relationships/hyperlink" Target="https://ali.click/iyxp61m" TargetMode="External"/><Relationship Id="rId26" Type="http://schemas.openxmlformats.org/officeDocument/2006/relationships/hyperlink" Target="https://aliexpress.ru/item/1005006243320197.html?sku_id=12000036439768503&amp;spm=a2g2w.productlist.search_results.4.3c6a1348XH5Yii" TargetMode="External"/><Relationship Id="rId39" Type="http://schemas.openxmlformats.org/officeDocument/2006/relationships/hyperlink" Target="https://www.ozon.ru/product/derzhatel-predohranitelya-5h20-blx-a-10-sht-6a-250v-s-kryshkoy-na-panel-korpusa-platu-plastik-1443527967/?at=6WtZw62p1CwVAP13U1QW8p5IjkrDEvFJXjNZFJzWnX9" TargetMode="External"/><Relationship Id="rId21" Type="http://schemas.openxmlformats.org/officeDocument/2006/relationships/hyperlink" Target="https://www.chipdip.ru/product/dg127-5.0-02p-14-00z-h-klemmnik-vintovoy-degson-9000273919" TargetMode="External"/><Relationship Id="rId34" Type="http://schemas.openxmlformats.org/officeDocument/2006/relationships/hyperlink" Target="https://www.ozon.ru/product/nabor-smd-svetodiodov-0805-5-tsvetov-po-20-shtuk-1566619372/?at=x6tPNE3yvsq0RRv1cDVxmn2foEXnBZTgGwVypSG8jNW1&amp;reviewsVariantMode=1&amp;sh=xmQQEBuwHw&amp;start_page_id=73d386cc371075a8226685bf6075bd02" TargetMode="External"/><Relationship Id="rId42" Type="http://schemas.openxmlformats.org/officeDocument/2006/relationships/hyperlink" Target="https://www.chipdip.ru/product/1n4448ws-7-f-diod-vypryamitelnyy-smd-75v-0-25a-4ns-diodes-8017544643" TargetMode="External"/><Relationship Id="rId47" Type="http://schemas.openxmlformats.org/officeDocument/2006/relationships/hyperlink" Target="https://www.chipdip.ru/product/nup4114hmr6t1g-diod-diodnaya-sborka-6-5v-on-semiconductor-8048524619" TargetMode="External"/><Relationship Id="rId50" Type="http://schemas.openxmlformats.org/officeDocument/2006/relationships/hyperlink" Target="https://www.ozon.ru/product/izsa-market-kabel-usb-type-a-type-c-1-metr-6a-chernyy-2516703246/?at=mqtk4ygAEFQgg0ALFKD7zEMF2JjloruQgPMBJsj10MrE&amp;from_sku=1757818761&amp;oos_search=false" TargetMode="External"/><Relationship Id="rId55" Type="http://schemas.openxmlformats.org/officeDocument/2006/relationships/hyperlink" Target="https://www.ozon.ru/product/nabor-latunnyh-stoek-120sht-1237400378/?at=gpt4Q1XomIYYLENYuYrXwogfWmRBwPsDw2ryACZ6xnOE" TargetMode="External"/><Relationship Id="rId63" Type="http://schemas.openxmlformats.org/officeDocument/2006/relationships/hyperlink" Target="https://www.ozon.ru/product/10-sht-derzhatel-dlya-materinskoy-platy-stoyki-pechatnyh-plat-neylonovye-4-8mm-cs-0406-769186665/?at=x6tPN5679U84qZpphM1nDVJsLDXNA2TrokV6vs5w5LJZ" TargetMode="External"/><Relationship Id="rId68" Type="http://schemas.openxmlformats.org/officeDocument/2006/relationships/hyperlink" Target="https://aliexpress.ru/item/1005009322841612.html?spm=a2g2w.detail.rcmdprod.74.55bb1b564YN0wW&amp;mixer_rcmd_bucket_id=UnknownMixerAbId&amp;pdp_trigger_item_id=0_1005009633657082&amp;ru_algo_pv_id=6b8439-476f2e-d7f511-a22912-1765112400&amp;scenario=pcDetailBottomMoreOtherSeller&amp;sku_id=12000048749466975&amp;traffic_source=recommendation&amp;type_rcmd=core" TargetMode="External"/><Relationship Id="rId76" Type="http://schemas.openxmlformats.org/officeDocument/2006/relationships/hyperlink" Target="https://www.chipdip.ru/product/sm6t12a-zaschitnyy-diod-600vt-12v-smb-do-214aa-kx-sunmate-9001579478" TargetMode="External"/><Relationship Id="rId84" Type="http://schemas.openxmlformats.org/officeDocument/2006/relationships/hyperlink" Target="https://aliexpress.ru/item/1005006409774999.html?shpMethod=CAINIAO_STANDARD&amp;sku_id=12000048106500458&amp;spm=a2g2w.productlist.search_results.18.2c5a62d12iQSop" TargetMode="External"/><Relationship Id="rId89" Type="http://schemas.openxmlformats.org/officeDocument/2006/relationships/hyperlink" Target="https://aliexpress.ru/item/1005001621750676.html?shpMethod=CAINIAO_ECONOMY&amp;sku_id=12000016846590256&amp;spm=a2g2w.productlist.search_results.4.7cc57e6el44OYI" TargetMode="External"/><Relationship Id="rId7" Type="http://schemas.openxmlformats.org/officeDocument/2006/relationships/hyperlink" Target="https://ali.click/wzx5pj" TargetMode="External"/><Relationship Id="rId71" Type="http://schemas.openxmlformats.org/officeDocument/2006/relationships/hyperlink" Target="https://aliexpress.ru/item/1005008954878549.html?shpMethod=CAINIAO_STANDARD&amp;sku_id=12000047353473420&amp;spm=a2g2w.productlist.search_results.0.140b7900rbLU0X" TargetMode="External"/><Relationship Id="rId92" Type="http://schemas.openxmlformats.org/officeDocument/2006/relationships/hyperlink" Target="https://www.chipdip.ru/product/1.5ke10a-diod-zaschitnyy-1500vt-10v-sunmate-9001138983" TargetMode="External"/><Relationship Id="rId2" Type="http://schemas.openxmlformats.org/officeDocument/2006/relationships/hyperlink" Target="https://ali.click/makfys" TargetMode="External"/><Relationship Id="rId16" Type="http://schemas.openxmlformats.org/officeDocument/2006/relationships/hyperlink" Target="https://www.sparkfun.com/sparkfun-optical-tracking-odometry-sensor-paa5160e1-qwiic.html" TargetMode="External"/><Relationship Id="rId29" Type="http://schemas.openxmlformats.org/officeDocument/2006/relationships/hyperlink" Target="https://aliexpress.ru/item/1005005688237757.html?sku_id=12000034046857612&amp;spm=a2g2w.productlist.search_results.15.a49026f5Fo1JO1" TargetMode="External"/><Relationship Id="rId11" Type="http://schemas.openxmlformats.org/officeDocument/2006/relationships/hyperlink" Target="https://ozon.ru/t/rdYo51S" TargetMode="External"/><Relationship Id="rId24" Type="http://schemas.openxmlformats.org/officeDocument/2006/relationships/hyperlink" Target="https://aliexpress.ru/item/1005010170377980.html?sku_id=12000051393480328&amp;spm=a2g2w.productlist.search_results.12.35504640RAo9Ud" TargetMode="External"/><Relationship Id="rId32" Type="http://schemas.openxmlformats.org/officeDocument/2006/relationships/hyperlink" Target="https://www.ozon.ru/product/matek-mateksys-micro-bec-12s-6-60-v-do-5-v-9-v-12-v-adj-ponizhayushchiy-modul-regulyatora-dlya-2869092545/?at=OgtEQLZ6JuJklJ18ik4NZVlSKr0g3mT5ZOEBAHRLEk2Q" TargetMode="External"/><Relationship Id="rId37" Type="http://schemas.openxmlformats.org/officeDocument/2006/relationships/hyperlink" Target="https://www.chipdip.ru/product/wj128-5.0-03p-14-00a-klemmnik-3-kontaktnyy-5mm-wanjie-9001726974?from=similar_product_auto" TargetMode="External"/><Relationship Id="rId40" Type="http://schemas.openxmlformats.org/officeDocument/2006/relationships/hyperlink" Target="https://www.chipdip.ru/product/lqm21fn100n-10mkgn-0805-30-induktivnost-smd-murata-522934659" TargetMode="External"/><Relationship Id="rId45" Type="http://schemas.openxmlformats.org/officeDocument/2006/relationships/hyperlink" Target="https://www.ozon.ru/product/nakonechnik-dlya-provodov-krasnyy-e0506-0-5mm2-terminal-tipa-e-kabelnyy-500-shtuk-2789745888/?at=gpt4Q1Ng8cApzM4mTY6wXB7C1qMn1KHmRvAk8IBW1ryz" TargetMode="External"/><Relationship Id="rId53" Type="http://schemas.openxmlformats.org/officeDocument/2006/relationships/hyperlink" Target="https://www.chipdip.ru/product/r2g2ch005-rele-miniatyurnoe-2per-5vdc-8a-250vac-shenler-9001108232" TargetMode="External"/><Relationship Id="rId58" Type="http://schemas.openxmlformats.org/officeDocument/2006/relationships/hyperlink" Target="https://www.ozon.ru/product/swd-06-ds-06-dip-pereklyuchatel-10-sht-1444024570/?at=46tRk29pyhXDNBjAC1lGk8WHpAw06AHr2vv9QCBMYQ12" TargetMode="External"/><Relationship Id="rId66" Type="http://schemas.openxmlformats.org/officeDocument/2006/relationships/hyperlink" Target="https://www.ozon.ru/product/magnitnoe-kreplenie-10h3-s-zenkovkoy-3-5-h7-50-sht-1994481767/?from_sku=1994502364&amp;oos_search=false" TargetMode="External"/><Relationship Id="rId74" Type="http://schemas.openxmlformats.org/officeDocument/2006/relationships/hyperlink" Target="https://www.chipdip.ru/product/sm6t30a-zaschitnyy-diod-600vt-30v-smb-do-214aa-sunmate-9001052842" TargetMode="External"/><Relationship Id="rId79" Type="http://schemas.openxmlformats.org/officeDocument/2006/relationships/hyperlink" Target="https://www.chipdip.ru/product/sm6t18ca-zaschitnyy-diod-dvunapravlennyy-600vt-18v-sunmate-9001579481" TargetMode="External"/><Relationship Id="rId87" Type="http://schemas.openxmlformats.org/officeDocument/2006/relationships/hyperlink" Target="https://aliexpress.ru/item/1005008566481432.html?shpMethod=CAINIAO_STANDARD&amp;sku_id=12000045748924114&amp;spm=a2g2w.productlist.search_results.17.917d7d08bXUwCC" TargetMode="External"/><Relationship Id="rId5" Type="http://schemas.openxmlformats.org/officeDocument/2006/relationships/hyperlink" Target="https://ali.click/ifx5pu" TargetMode="External"/><Relationship Id="rId61" Type="http://schemas.openxmlformats.org/officeDocument/2006/relationships/hyperlink" Target="https://www.chipdip.ru/product/ds1040-05rn-dip-pereklyuchatel-5pin-krasnyy-connfly-9000190974" TargetMode="External"/><Relationship Id="rId82" Type="http://schemas.openxmlformats.org/officeDocument/2006/relationships/hyperlink" Target="https://aliexpress.ru/item/1005004874541019.html?shpMethod=CAINIAO_STANDARD&amp;sku_id=12000030845385126&amp;spm=a2g2w.productlist.search_results.4.5c49bcc15Awm54" TargetMode="External"/><Relationship Id="rId90" Type="http://schemas.openxmlformats.org/officeDocument/2006/relationships/hyperlink" Target="https://www.chipdip.ru/product/1n5817-diod-shottki-20v-1a-25a-do-41-sunmate-9001132578?from=visited_product" TargetMode="External"/><Relationship Id="rId95" Type="http://schemas.openxmlformats.org/officeDocument/2006/relationships/hyperlink" Target="https://www.chipdip.ru/product/01550900m-derzhatel-smd-predohranitelya-2410-littelfuse-9000928195" TargetMode="External"/><Relationship Id="rId19" Type="http://schemas.openxmlformats.org/officeDocument/2006/relationships/hyperlink" Target="https://aliexpress.ru/item/1005009140615955.html?sku_id=12000048060693132&amp;spm=a2g2w.productlist.search_results.2.4c5b4b7bhBTaaI" TargetMode="External"/><Relationship Id="rId14" Type="http://schemas.openxmlformats.org/officeDocument/2006/relationships/hyperlink" Target="https://ali.click/awe8xi" TargetMode="External"/><Relationship Id="rId22" Type="http://schemas.openxmlformats.org/officeDocument/2006/relationships/hyperlink" Target="https://aliexpress.ru/item/1005008672767761.html?sku_id=12000046182343543&amp;spm=a2g2w.productlist.search_results.8.4c025278ELyP43" TargetMode="External"/><Relationship Id="rId27" Type="http://schemas.openxmlformats.org/officeDocument/2006/relationships/hyperlink" Target="https://aliexpress.ru/item/1005008329876592.html?spm=a2g2w.detail.rcmdprod.4.58665fa4PGuOLg&amp;mixer_rcmd_bucket_id=UnknownMixerAbId&amp;pdp_trigger_item_id=0_1005006243320197&amp;ru_algo_pv_id=6b8439-61b690-a3286b-e5fb74-1762902000&amp;scenario=aerSimilarItemPdpRcmd&amp;sku_id=12000044620671963&amp;traffic_source=recommendation&amp;type_rcmd=core" TargetMode="External"/><Relationship Id="rId30" Type="http://schemas.openxmlformats.org/officeDocument/2006/relationships/hyperlink" Target="https://aliexpress.ru/item/1005003533838295.html?sku_id=12000026201357966&amp;spm=a2g2w.productlist.search_results.2.25bb6d94BOt3Xd" TargetMode="External"/><Relationship Id="rId35" Type="http://schemas.openxmlformats.org/officeDocument/2006/relationships/hyperlink" Target="https://www.ozon.ru/product/nabor-rezistorov-smd-0805-660-shtuk-1915835862/?at=VvtzQqR7yIjKWjBVikNYBDxt8wj1vEfGGmvgXtJL9NxA" TargetMode="External"/><Relationship Id="rId43" Type="http://schemas.openxmlformats.org/officeDocument/2006/relationships/hyperlink" Target="https://www.ozon.ru/product/50sht-klemmnaya-kolodka-dg308-kf128-2-54-mm-2-3-4p-komplekt-vintovyh-razemov-dlya-2903552535/?at=NOtwykK5pc43NmoVIoZxZxZHMRvMEluALKPA0SN3OAJX" TargetMode="External"/><Relationship Id="rId48" Type="http://schemas.openxmlformats.org/officeDocument/2006/relationships/hyperlink" Target="https://www.ozon.ru/product/peremychka-dzhamper-tsvetnye-shag-2-54-jumper-25-shtuk-3055894231/?at=A6tGqpwn7cklxQmxFQ5zoPF29lP5GCPyVooHR7rOBp" TargetMode="External"/><Relationship Id="rId56" Type="http://schemas.openxmlformats.org/officeDocument/2006/relationships/hyperlink" Target="https://www.ozon.ru/product/kontsevoy-vyklyuchatel-3a-250v-10-sht-492597024/?at=36tWNgRj6hzO2L7SvRok0OCJEwJXrh8AgL70uZ2GDXO" TargetMode="External"/><Relationship Id="rId64" Type="http://schemas.openxmlformats.org/officeDocument/2006/relationships/hyperlink" Target="https://aliexpress.ru/item/1_103695548.html?sku_id=5000000247497414&amp;spm=a2g2w.productlist.search_results.9.4cdf7355AbRyfA" TargetMode="External"/><Relationship Id="rId69" Type="http://schemas.openxmlformats.org/officeDocument/2006/relationships/hyperlink" Target="https://aliexpress.ru/item/1005009322841612.html?spm=a2g2w.detail.rcmdprod.74.55bb1b564YN0wW&amp;mixer_rcmd_bucket_id=UnknownMixerAbId&amp;pdp_trigger_item_id=0_1005009633657082&amp;ru_algo_pv_id=6b8439-476f2e-d7f511-a22912-1765112400&amp;scenario=pcDetailBottomMoreOtherSeller&amp;sku_id=12000048749466974&amp;traffic_source=recommendation&amp;type_rcmd=core" TargetMode="External"/><Relationship Id="rId77" Type="http://schemas.openxmlformats.org/officeDocument/2006/relationships/hyperlink" Target="https://www.chipdip.ru/product/sm6t12ca-zaschitnyy-diod-dvunapravlennyy-600vt-12v-sunmate-9001052841" TargetMode="External"/><Relationship Id="rId8" Type="http://schemas.openxmlformats.org/officeDocument/2006/relationships/hyperlink" Target="https://ali.click/aqe1po" TargetMode="External"/><Relationship Id="rId51" Type="http://schemas.openxmlformats.org/officeDocument/2006/relationships/hyperlink" Target="https://www.ozon.ru/product/kabel-micro-usb-provod-dlya-zaryadki-telefona-shnur-s-bystroy-zaryadkoy-iz-zhidkogo-silikona-1-1016382930/?at=ywtAVO809sxKZpLBhjmKwyVuRJo6nyU4jNM39tmWO8Ok" TargetMode="External"/><Relationship Id="rId72" Type="http://schemas.openxmlformats.org/officeDocument/2006/relationships/hyperlink" Target="https://aliexpress.ru/item/1005001995455752.html?shpMethod=CAINIAO_STANDARD&amp;sku_id=12000018355801984&amp;spm=a2g2w.productlist.search_results.4.2bb8600dYhrtCB" TargetMode="External"/><Relationship Id="rId80" Type="http://schemas.openxmlformats.org/officeDocument/2006/relationships/hyperlink" Target="https://www.chipdip.ru/product/max40203auk-t-kommutator-analogovyh-signalov-sot235-maxim-8056449059" TargetMode="External"/><Relationship Id="rId85" Type="http://schemas.openxmlformats.org/officeDocument/2006/relationships/hyperlink" Target="https://aliexpress.ru/item/1005002798436987.html?spm=a2g2w.detail.rcmdprod.3.c73d384c8N16vx&amp;mixer_rcmd_bucket_id=UnknownMixerAbId&amp;pdp_trigger_item_id=0_1005008715576069&amp;ru_algo_pv_id=6b8439-61b690-fa96da-dc5aa0-1768658400&amp;scenario=aerSimilarItemPdpRcmd&amp;shpMethod=CAINIAO_STANDARD&amp;sku_id=12000022235210637&amp;traffic_source=recommendation&amp;type_rcmd=core" TargetMode="External"/><Relationship Id="rId93" Type="http://schemas.openxmlformats.org/officeDocument/2006/relationships/hyperlink" Target="https://www.chipdip.ru/product/usba-2j-ds1096-w-rozetka-dvoynaya-na-platu-tip-a-connfly-374109635" TargetMode="External"/><Relationship Id="rId3" Type="http://schemas.openxmlformats.org/officeDocument/2006/relationships/hyperlink" Target="https://ali.click/kp5glh" TargetMode="External"/><Relationship Id="rId12" Type="http://schemas.openxmlformats.org/officeDocument/2006/relationships/hyperlink" Target="https://ali.click/eqx5pr" TargetMode="External"/><Relationship Id="rId17" Type="http://schemas.openxmlformats.org/officeDocument/2006/relationships/hyperlink" Target="https://ali.click/9h1lyx" TargetMode="External"/><Relationship Id="rId25" Type="http://schemas.openxmlformats.org/officeDocument/2006/relationships/hyperlink" Target="https://aliexpress.ru/item/1005007936821716.html?sku_id=12000042948117321&amp;spm=a2g2w.productlist.search_results.5.3c6a1348XH5Yii" TargetMode="External"/><Relationship Id="rId33" Type="http://schemas.openxmlformats.org/officeDocument/2006/relationships/hyperlink" Target="https://www.ozon.ru/product/modul-stabilizatora-napryazheniya-matek-bec-12s-pro-9-55v-v-5v-8v-12v-5a-2987260789/?at=PjtJV1N7OcroVv8oij7B6PPFzGNvQoT8NG3pc5rP4o3" TargetMode="External"/><Relationship Id="rId38" Type="http://schemas.openxmlformats.org/officeDocument/2006/relationships/hyperlink" Target="https://www.chipdip.ru/product/kls5-242-derzhatel-predohranitelya-5x20-s-kryshkoy-9000673100" TargetMode="External"/><Relationship Id="rId46" Type="http://schemas.openxmlformats.org/officeDocument/2006/relationships/hyperlink" Target="https://www.ozon.ru/product/nakonechnik-dlya-provodov-seryy-e0506-0-5mm2-terminal-tipa-e-kabelnyy-500-shtuk-2789735975/?at=OgtEQLwP3FYqnynGco9JMpkCxRVY6vF9g7wNgsDE9J8j" TargetMode="External"/><Relationship Id="rId59" Type="http://schemas.openxmlformats.org/officeDocument/2006/relationships/hyperlink" Target="https://www.chipdip.ru/product/ds1040-03rn-dip-pereklyuchatel-3pin-krasnyy-connfly-9000190956" TargetMode="External"/><Relationship Id="rId67" Type="http://schemas.openxmlformats.org/officeDocument/2006/relationships/hyperlink" Target="https://www.ozon.ru/product/neodimovyy-magnit-s-zenkovkoy-8xd3x2-10sht-373326175/?utm_medium=organic&amp;utm_source=yandex_serp_products&amp;reviewsVariantMode=2" TargetMode="External"/><Relationship Id="rId20" Type="http://schemas.openxmlformats.org/officeDocument/2006/relationships/hyperlink" Target="https://aliexpress.ru/item/4000927720241.html?sku_id=10000011261540772&amp;spm=a2g2w.productlist.search_results.0.40692c62hY0Cp8" TargetMode="External"/><Relationship Id="rId41" Type="http://schemas.openxmlformats.org/officeDocument/2006/relationships/hyperlink" Target="https://www.chipdip.ru/product/lqm21dn470n-47mkgn-0805-30-induktivnost-smd-murata-14862514" TargetMode="External"/><Relationship Id="rId54" Type="http://schemas.openxmlformats.org/officeDocument/2006/relationships/hyperlink" Target="https://www.ozon.ru/product/nabor-neylonovyh-krepleniy-dlya-materinskih-plat-vinty-stoyki-prostavki-vinty-gayki-stoyki-m3-1339511535/?at=z6tOVYmXQcpyprnJH0RVZ8rFyNr9l4HPkk5OGs0jpzGW&amp;reviewsVariantMode=2" TargetMode="External"/><Relationship Id="rId62" Type="http://schemas.openxmlformats.org/officeDocument/2006/relationships/hyperlink" Target="https://www.ozon.ru/product/payalnaya-pasta-mechanic-ms38-nizkotemperaturnaya-138-c-v-shpritse-20-g-solder-paste-sn42bi58-1685309071/?at=pZtp60OjGUvLx9M3hJMXZWYC4NV2DgT8X1jkGszn7p3r" TargetMode="External"/><Relationship Id="rId70" Type="http://schemas.openxmlformats.org/officeDocument/2006/relationships/hyperlink" Target="https://market.yandex.ru/card/klemmy-lt-22-05-do-25-mm-bystrozazhimnyye-2-kh-kontaktnyye-soyedinitelnyye-dlya-provodov-10-par/4351115710?do-waremd5=bT8mHymssq5_Nn7l_9ailw&amp;cpc=Kuoi9dA1yLk7_mYXtR6e-olZdqSP_q7AiyUOEtSpXwgnoQVJxtZzk3hzizk4K6reAC41ystZudFgmkNHB04BijJTIPukje-TWiT9tApVHhUOFoDaVY18ST8XAXy5WQeZvof0zOFXH-p_kyTzjzJqj8vUqWmwGJCfyLKqyC2ttPzYtpDg9eeIVm_n3Ep_-RBAoU_Y4yI_OVbUWQRydKy6GjmcJQug-RzQ33rHd0FiYqGqe4_CaEUq_GFz51l4RsmKbjWn0EwbwHZW6nyKfZHbeM3JaixypSixvilzO_2Z6zdtsNCdslCDMXpYl0WA_PqNxcvQoj_mLuULlGlrT57KKakpYElzs9gzPCsCmlrKX4_xc7Lui_oG1XFdUayaFIchEDOB7HTmTpHoQ9XWK8B1Kv9VyvLJYR4jMBppWnBt9Yon92KPaTTd3E2cp02CZXgp&amp;ogV=-8" TargetMode="External"/><Relationship Id="rId75" Type="http://schemas.openxmlformats.org/officeDocument/2006/relationships/hyperlink" Target="https://www.chipdip.ru/product/sm6t39ca-zaschitnyy-diod-dvunapravlennyy-600vt-39v-sunmate-9001579486" TargetMode="External"/><Relationship Id="rId83" Type="http://schemas.openxmlformats.org/officeDocument/2006/relationships/hyperlink" Target="https://ali.click/14u5w3" TargetMode="External"/><Relationship Id="rId88" Type="http://schemas.openxmlformats.org/officeDocument/2006/relationships/hyperlink" Target="https://www.chipdip.ru/product/xt60pw-m-amass-8004121152" TargetMode="External"/><Relationship Id="rId91" Type="http://schemas.openxmlformats.org/officeDocument/2006/relationships/hyperlink" Target="https://www.chipdip.ru/product/xt60pw-m-amass-8004121152" TargetMode="External"/><Relationship Id="rId96" Type="http://schemas.openxmlformats.org/officeDocument/2006/relationships/hyperlink" Target="https://aliexpress.ru/item/1005004589771995.html?shpMethod=CAINIAO_SUPER_ECONOMY&amp;sku_id=12000029743999348&amp;spm=a2g2w.productlist.search_results.4.579f411a6Ka85S" TargetMode="External"/><Relationship Id="rId1" Type="http://schemas.openxmlformats.org/officeDocument/2006/relationships/hyperlink" Target="https://ali.click/t9kfyg" TargetMode="External"/><Relationship Id="rId6" Type="http://schemas.openxmlformats.org/officeDocument/2006/relationships/hyperlink" Target="https://ali.click/39y2po" TargetMode="External"/><Relationship Id="rId15" Type="http://schemas.openxmlformats.org/officeDocument/2006/relationships/hyperlink" Target="https://www.sparkfun.com/sparkfun-optical-tracking-odometry-sensor-paa5160e1-qwiic.html" TargetMode="External"/><Relationship Id="rId23" Type="http://schemas.openxmlformats.org/officeDocument/2006/relationships/hyperlink" Target="https://www.chipdip.ru/product/wj128-5.0-03p-14-00a-klemmnik-3-kontaktnyy-5mm-wanjie-9001726974?from=similar_product_auto" TargetMode="External"/><Relationship Id="rId28" Type="http://schemas.openxmlformats.org/officeDocument/2006/relationships/hyperlink" Target="https://aliexpress.ru/item/1005007412951961.html?sku_id=12000040649829798&amp;spm=a2g2w.productlist.search_results.14.a49026f5Fo1JO1" TargetMode="External"/><Relationship Id="rId36" Type="http://schemas.openxmlformats.org/officeDocument/2006/relationships/hyperlink" Target="https://www.chipdip.ru/product/dg127-5.0-02p-14-00z-h-klemmnik-vintovoy-degson-9000273919" TargetMode="External"/><Relationship Id="rId49" Type="http://schemas.openxmlformats.org/officeDocument/2006/relationships/hyperlink" Target="https://www.ozon.ru/product/kabel-usb-type-c-2m-dlinnyy-provod-bystraya-zaryadka-tayp-si-dlya-telefona-2-metra-shnur-na-samsung-1757818761/?at=mqtk4ygAEFQgg0ALFKD7zEMF2JjloruQgPMBJsj10MrE" TargetMode="External"/><Relationship Id="rId57" Type="http://schemas.openxmlformats.org/officeDocument/2006/relationships/hyperlink" Target="https://www.ozon.ru/product/kw4-3z-l1-5sht-250v-5a-mikrovyklyuchatel-kontsevoy-vyklyuchatel-s-rychagom-16mm-razmery-19-6h10-5h6-2926999632/?at=WPtNoLy1RTwpg0VltOQYYKQh4yP5gRiGQ1P86UzjJkKv&amp;from_sku=1331335762&amp;oos_search=false" TargetMode="External"/><Relationship Id="rId10" Type="http://schemas.openxmlformats.org/officeDocument/2006/relationships/hyperlink" Target="https://ali.click/45nmkm" TargetMode="External"/><Relationship Id="rId31" Type="http://schemas.openxmlformats.org/officeDocument/2006/relationships/hyperlink" Target="https://aliexpress.ru/item/1005009322841612.html?spm=a2g2w.detail.rcmdprod.74.55bb1b564YN0wW&amp;mixer_rcmd_bucket_id=UnknownMixerAbId&amp;pdp_trigger_item_id=0_1005009633657082&amp;ru_algo_pv_id=6b8439-476f2e-d7f511-a22912-1765112400&amp;scenario=pcDetailBottomMoreOtherSeller&amp;sku_id=12000048749466974&amp;traffic_source=recommendation&amp;type_rcmd=core" TargetMode="External"/><Relationship Id="rId44" Type="http://schemas.openxmlformats.org/officeDocument/2006/relationships/hyperlink" Target="https://www.ozon.ru/product/nabor-klemm-xh2-54-soediniteli-provodov-kontaktnyy-razem-230-sht-v-keyse-1346848375/?at=LZtl8BxM2s59pLNyFE6r1x8IxAOqxPUk1D3gKH4oyRzg" TargetMode="External"/><Relationship Id="rId52" Type="http://schemas.openxmlformats.org/officeDocument/2006/relationships/hyperlink" Target="https://www.ozon.ru/product/kabel-signalnoy-provodki-ekranirovannyy-gibkiy-rvvp-4h0-2kv-mm-pvh-kruglyy-2-metra-1643871899/?at=k2toGyk0Eh7p9BONu4WM6PEf0pL4n7HAyDngjIZ1og3D&amp;from_sku=1916856942&amp;oos_search=false" TargetMode="External"/><Relationship Id="rId60" Type="http://schemas.openxmlformats.org/officeDocument/2006/relationships/hyperlink" Target="https://www.chipdip.ru/product/ds1040-04rn-dip-pereklyuchatel-4pin-krasnyy-connfly-9000190957" TargetMode="External"/><Relationship Id="rId65" Type="http://schemas.openxmlformats.org/officeDocument/2006/relationships/hyperlink" Target="https://www.ozon.ru/product/ponizhayushchiy-dc-dc-preobrazovatel-mini560-pro-iz-5-5-32v-v-3-3v-5a-1565257432/?at=MZtvmyVK3cROKDO6S24nvpgiZzWrRLfqpwPJyfNwDrpY" TargetMode="External"/><Relationship Id="rId73" Type="http://schemas.openxmlformats.org/officeDocument/2006/relationships/hyperlink" Target="https://www.chipdip.ru/product/ds1040-07rn-dip-pereklyuchatel-7pin-krasnyy-connfly-9000190959" TargetMode="External"/><Relationship Id="rId78" Type="http://schemas.openxmlformats.org/officeDocument/2006/relationships/hyperlink" Target="https://www.chipdip.ru/product/sm6t18a-zaschitnyy-diod-600vt-18v-smb-do-214aa-lp-sunmate-9001579480" TargetMode="External"/><Relationship Id="rId81" Type="http://schemas.openxmlformats.org/officeDocument/2006/relationships/hyperlink" Target="https://aliexpress.ru/item/1005005203028580.html?shpMethod=CAINIAO_STANDARD&amp;sku_id=12000032138763293&amp;spm=a2g2w.productlist.search_results.6.12f8594fCCRB2f" TargetMode="External"/><Relationship Id="rId86" Type="http://schemas.openxmlformats.org/officeDocument/2006/relationships/hyperlink" Target="https://aliexpress.ru/item/1005002798436987.html?spm=a2g2w.detail.rcmdprod.3.c73d384c8N16vx&amp;mixer_rcmd_bucket_id=UnknownMixerAbId&amp;pdp_trigger_item_id=0_1005008715576069&amp;ru_algo_pv_id=6b8439-61b690-fa96da-dc5aa0-1768658400&amp;scenario=aerSimilarItemPdpRcmd&amp;shpMethod=CAINIAO_STANDARD&amp;sku_id=12000022235210635&amp;traffic_source=recommendation&amp;type_rcmd=core" TargetMode="External"/><Relationship Id="rId94" Type="http://schemas.openxmlformats.org/officeDocument/2006/relationships/hyperlink" Target="https://www.chipdip.ru/product/usba-1js-ds1095-10-rozetka-na-platu-pryamaya-tip-a-connfly-9000024745" TargetMode="External"/><Relationship Id="rId4" Type="http://schemas.openxmlformats.org/officeDocument/2006/relationships/hyperlink" Target="https://ali.click/dosqlz" TargetMode="External"/><Relationship Id="rId9" Type="http://schemas.openxmlformats.org/officeDocument/2006/relationships/hyperlink" Target="https://ali.click/tpe1p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ldberries.ru/catalog/242467113/detail.aspx?utm_source=yandex&amp;utm_medium=feed&amp;utm_campaign=feed" TargetMode="External"/><Relationship Id="rId13" Type="http://schemas.openxmlformats.org/officeDocument/2006/relationships/hyperlink" Target="https://ali.click/gdv1pd" TargetMode="External"/><Relationship Id="rId18" Type="http://schemas.openxmlformats.org/officeDocument/2006/relationships/hyperlink" Target="https://amperkot.ru/products/koleso_dlya_n20_43mm/24254832.html" TargetMode="External"/><Relationship Id="rId26" Type="http://schemas.openxmlformats.org/officeDocument/2006/relationships/hyperlink" Target="https://ali.click/rdpb41g" TargetMode="External"/><Relationship Id="rId3" Type="http://schemas.openxmlformats.org/officeDocument/2006/relationships/hyperlink" Target="https://ozon.ru/t/sYbUkFV" TargetMode="External"/><Relationship Id="rId21" Type="http://schemas.openxmlformats.org/officeDocument/2006/relationships/hyperlink" Target="https://amperkot.ru/products/servoprivod_mikro_sg92r__towerpro_compatible_180_gradusov/24148240.html" TargetMode="External"/><Relationship Id="rId7" Type="http://schemas.openxmlformats.org/officeDocument/2006/relationships/hyperlink" Target="https://ozon.ru/t/ZJ5dFbg" TargetMode="External"/><Relationship Id="rId12" Type="http://schemas.openxmlformats.org/officeDocument/2006/relationships/hyperlink" Target="https://ali.click/wd8kps" TargetMode="External"/><Relationship Id="rId17" Type="http://schemas.openxmlformats.org/officeDocument/2006/relationships/hyperlink" Target="https://ali.click/vzsxp7" TargetMode="External"/><Relationship Id="rId25" Type="http://schemas.openxmlformats.org/officeDocument/2006/relationships/hyperlink" Target="https://ali.click/gbpb414" TargetMode="External"/><Relationship Id="rId2" Type="http://schemas.openxmlformats.org/officeDocument/2006/relationships/hyperlink" Target="https://ozon.ru/t/7ivUEbv" TargetMode="External"/><Relationship Id="rId16" Type="http://schemas.openxmlformats.org/officeDocument/2006/relationships/hyperlink" Target="https://ali.click/4ytxp8" TargetMode="External"/><Relationship Id="rId20" Type="http://schemas.openxmlformats.org/officeDocument/2006/relationships/hyperlink" Target="https://ozon.ru/t/ho0rRkH" TargetMode="External"/><Relationship Id="rId1" Type="http://schemas.openxmlformats.org/officeDocument/2006/relationships/hyperlink" Target="https://robototehnika.ru/e-store/catalog/411/2348/" TargetMode="External"/><Relationship Id="rId6" Type="http://schemas.openxmlformats.org/officeDocument/2006/relationships/hyperlink" Target="https://sl.aliexpress.ru/p?key=P1xqVjN" TargetMode="External"/><Relationship Id="rId11" Type="http://schemas.openxmlformats.org/officeDocument/2006/relationships/hyperlink" Target="https://ali.click/f88kpu" TargetMode="External"/><Relationship Id="rId24" Type="http://schemas.openxmlformats.org/officeDocument/2006/relationships/hyperlink" Target="https://ali.click/c7pb41u" TargetMode="External"/><Relationship Id="rId5" Type="http://schemas.openxmlformats.org/officeDocument/2006/relationships/hyperlink" Target="https://sl.aliexpress.ru/p?key=0XxqVB7" TargetMode="External"/><Relationship Id="rId15" Type="http://schemas.openxmlformats.org/officeDocument/2006/relationships/hyperlink" Target="https://ali.click/n41npg" TargetMode="External"/><Relationship Id="rId23" Type="http://schemas.openxmlformats.org/officeDocument/2006/relationships/hyperlink" Target="https://aliexpress.ru/item/1005007783332646.html?shpMethod=CAINIAO_ECONOMY&amp;sku_id=12000042189565684&amp;spm=a2g2w.productlist.search_results.6.6f5a51fbD6QzU3" TargetMode="External"/><Relationship Id="rId28" Type="http://schemas.openxmlformats.org/officeDocument/2006/relationships/hyperlink" Target="https://amperkot.ru/msk/catalog/miniatyurnyiy_tsifrovoy_voltmetr_postoyannogo_toka_dc_0100v__tsvet_krasnyiy-39783435.html" TargetMode="External"/><Relationship Id="rId10" Type="http://schemas.openxmlformats.org/officeDocument/2006/relationships/hyperlink" Target="https://ali.click/eqx5pr" TargetMode="External"/><Relationship Id="rId19" Type="http://schemas.openxmlformats.org/officeDocument/2006/relationships/hyperlink" Target="https://ali.click/oc9q11d" TargetMode="External"/><Relationship Id="rId4" Type="http://schemas.openxmlformats.org/officeDocument/2006/relationships/hyperlink" Target="https://ozon.ru/t/Gvsapoj" TargetMode="External"/><Relationship Id="rId9" Type="http://schemas.openxmlformats.org/officeDocument/2006/relationships/hyperlink" Target="https://ali.click/1xsxpt" TargetMode="External"/><Relationship Id="rId14" Type="http://schemas.openxmlformats.org/officeDocument/2006/relationships/hyperlink" Target="https://ali.click/7jr1ph" TargetMode="External"/><Relationship Id="rId22" Type="http://schemas.openxmlformats.org/officeDocument/2006/relationships/hyperlink" Target="https://aliexpress.ru/item/1005007678693438.html?filters=&amp;sku_id=12000041780450697" TargetMode="External"/><Relationship Id="rId27" Type="http://schemas.openxmlformats.org/officeDocument/2006/relationships/hyperlink" Target="https://aliexpress.ru/item/1005007783332646.html?shpMethod=CAINIAO_ECONOMY&amp;sku_id=12000042189565709&amp;spm=a2g2w.productlist.search_results.6.6f5a51fbD6QzU3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ozon.ru/t/l7Tp8VR" TargetMode="External"/><Relationship Id="rId18" Type="http://schemas.openxmlformats.org/officeDocument/2006/relationships/hyperlink" Target="https://www.ozon.ru/product/nabor-rezistorov-smd-0805-660-shtuk-1915835862/?at=VvtzQqR7yIjKWjBVikNYBDxt8wj1vEfGGmvgXtJL9NxA" TargetMode="External"/><Relationship Id="rId26" Type="http://schemas.openxmlformats.org/officeDocument/2006/relationships/hyperlink" Target="https://www.ozon.ru/product/50sht-klemmnaya-kolodka-dg308-kf128-2-54-mm-2-3-4p-komplekt-vintovyh-razemov-dlya-2903552535/?at=NOtwykK5pc43NmoVIoZxZxZHMRvMEluALKPA0SN3OAJX" TargetMode="External"/><Relationship Id="rId39" Type="http://schemas.openxmlformats.org/officeDocument/2006/relationships/hyperlink" Target="https://www.ozon.ru/product/ss-5gl2-2sht-ss5gl2-omron-250v-3a-125v-5a-mikrovyklyuchatel-kontsevoy-vyklyuchatel-s-rychagom-2125190096/" TargetMode="External"/><Relationship Id="rId3" Type="http://schemas.openxmlformats.org/officeDocument/2006/relationships/hyperlink" Target="https://ozon.ru/t/ULftcmU" TargetMode="External"/><Relationship Id="rId21" Type="http://schemas.openxmlformats.org/officeDocument/2006/relationships/hyperlink" Target="https://www.chipdip.ru/product/kls5-242-derzhatel-predohranitelya-5x20-s-kryshkoy-9000673100" TargetMode="External"/><Relationship Id="rId34" Type="http://schemas.openxmlformats.org/officeDocument/2006/relationships/hyperlink" Target="https://www.ozon.ru/product/kabel-micro-usb-provod-dlya-zaryadki-telefona-shnur-s-bystroy-zaryadkoy-iz-zhidkogo-silikona-1-1016382930/?at=ywtAVO809sxKZpLBhjmKwyVuRJo6nyU4jNM39tmWO8Ok" TargetMode="External"/><Relationship Id="rId42" Type="http://schemas.openxmlformats.org/officeDocument/2006/relationships/hyperlink" Target="https://www.chipdip.ru/product/ds1040-03rn-dip-pereklyuchatel-3pin-krasnyy-connfly-9000190956" TargetMode="External"/><Relationship Id="rId47" Type="http://schemas.openxmlformats.org/officeDocument/2006/relationships/hyperlink" Target="https://www.ozon.ru/product/ponizhayushchiy-dc-dc-preobrazovatel-mini560-pro-iz-5-5-32v-v-3-3v-5a-5-shtuk-1570688610/?at=MZtvmyVK3cROKDO6S24nvpgiZzWrRLfqpwPJyfNwDrpY&amp;from_sku=1565257432&amp;oos_search=false" TargetMode="External"/><Relationship Id="rId50" Type="http://schemas.openxmlformats.org/officeDocument/2006/relationships/hyperlink" Target="https://www.ozon.ru/product/litievye-batareyki-foton-cr2032-bp3-3-sht-keys-498394959/" TargetMode="External"/><Relationship Id="rId7" Type="http://schemas.openxmlformats.org/officeDocument/2006/relationships/hyperlink" Target="https://ozon.ru/t/IFn1MTo" TargetMode="External"/><Relationship Id="rId12" Type="http://schemas.openxmlformats.org/officeDocument/2006/relationships/hyperlink" Target="https://ozon.ru/t/l7TArSF" TargetMode="External"/><Relationship Id="rId17" Type="http://schemas.openxmlformats.org/officeDocument/2006/relationships/hyperlink" Target="https://www.ozon.ru/product/nabor-smd-svetodiodov-0805-5-tsvetov-po-20-shtuk-1566619372/?at=x6tPNE3yvsq0RRv1cDVxmn2foEXnBZTgGwVypSG8jNW1&amp;reviewsVariantMode=1&amp;sh=xmQQEBuwHw&amp;start_page_id=73d386cc371075a8226685bf6075bd02" TargetMode="External"/><Relationship Id="rId25" Type="http://schemas.openxmlformats.org/officeDocument/2006/relationships/hyperlink" Target="https://www.chipdip.ru/product/1n4448ws-7-f-diod-vypryamitelnyy-smd-75v-0-25a-4ns-diodes-8017544643" TargetMode="External"/><Relationship Id="rId33" Type="http://schemas.openxmlformats.org/officeDocument/2006/relationships/hyperlink" Target="https://www.ozon.ru/product/izsa-market-kabel-usb-type-a-type-c-1-metr-6a-chernyy-2516703246/?at=mqtk4ygAEFQgg0ALFKD7zEMF2JjloruQgPMBJsj10MrE&amp;from_sku=1757818761&amp;oos_search=false" TargetMode="External"/><Relationship Id="rId38" Type="http://schemas.openxmlformats.org/officeDocument/2006/relationships/hyperlink" Target="https://www.ozon.ru/product/nabor-latunnyh-stoek-120sht-1237400378/?at=gpt4Q1XomIYYLENYuYrXwogfWmRBwPsDw2ryACZ6xnOE" TargetMode="External"/><Relationship Id="rId46" Type="http://schemas.openxmlformats.org/officeDocument/2006/relationships/hyperlink" Target="https://www.ozon.ru/product/10-sht-derzhatel-dlya-materinskoy-platy-stoyki-pechatnyh-plat-neylonovye-4-8mm-cs-0406-769186665/?at=x6tPN5679U84qZpphM1nDVJsLDXNA2TrokV6vs5w5LJZ" TargetMode="External"/><Relationship Id="rId2" Type="http://schemas.openxmlformats.org/officeDocument/2006/relationships/hyperlink" Target="https://www.ozon.ru/product/smartbuy-256-gb-vnutrenniy-ssd-disk-sbssd256-ste14-m2p3-1464913678/?at=nRtrBZolMcZMnNN1h7qE7wQfJ47BXKFxXKKg2u8jRjAR&amp;from_sku=1464913678&amp;oos_search=false" TargetMode="External"/><Relationship Id="rId16" Type="http://schemas.openxmlformats.org/officeDocument/2006/relationships/hyperlink" Target="https://www.ozon.ru/product/dlya-modulya-bec12s-pro-radioupravlyaemogo-samoleta-fpv-3040428011/?at=ywtAVGMozcqyz8LrhpLNVWLTLqYNnQumG34EASZqGAz6" TargetMode="External"/><Relationship Id="rId20" Type="http://schemas.openxmlformats.org/officeDocument/2006/relationships/hyperlink" Target="https://www.chipdip.ru/product/wj128-5.0-03p-14-00a-klemmnik-3-kontaktnyy-5mm-wanjie-9001726974?from=similar_product_auto" TargetMode="External"/><Relationship Id="rId29" Type="http://schemas.openxmlformats.org/officeDocument/2006/relationships/hyperlink" Target="https://www.ozon.ru/product/nakonechnik-dlya-provodov-seryy-e0506-0-5mm2-terminal-tipa-e-kabelnyy-500-shtuk-2789735975/?at=OgtEQLwP3FYqnynGco9JMpkCxRVY6vF9g7wNgsDE9J8j" TargetMode="External"/><Relationship Id="rId41" Type="http://schemas.openxmlformats.org/officeDocument/2006/relationships/hyperlink" Target="https://www.ozon.ru/product/swd-06-ds-06-dip-pereklyuchatel-10-sht-1444024570/?at=46tRk29pyhXDNBjAC1lGk8WHpAw06AHr2vv9QCBMYQ12" TargetMode="External"/><Relationship Id="rId1" Type="http://schemas.openxmlformats.org/officeDocument/2006/relationships/hyperlink" Target="https://ozon.ru/t/l7TIjuD" TargetMode="External"/><Relationship Id="rId6" Type="http://schemas.openxmlformats.org/officeDocument/2006/relationships/hyperlink" Target="https://ozon.ru/t/T8wDYs1" TargetMode="External"/><Relationship Id="rId11" Type="http://schemas.openxmlformats.org/officeDocument/2006/relationships/hyperlink" Target="https://www.ozon.ru/product/fanera-dlya-lazernoy-rezki-i-gravirovki-3-mm-sort-2-2-300h400mm-5-listov-1576116315/" TargetMode="External"/><Relationship Id="rId24" Type="http://schemas.openxmlformats.org/officeDocument/2006/relationships/hyperlink" Target="https://www.chipdip.ru/product/lqm21dn470n-47mkgn-0805-30-induktivnost-smd-murata-14862514" TargetMode="External"/><Relationship Id="rId32" Type="http://schemas.openxmlformats.org/officeDocument/2006/relationships/hyperlink" Target="https://www.ozon.ru/product/kabel-usb-type-c-2m-dlinnyy-provod-bystraya-zaryadka-tayp-si-dlya-telefona-2-metra-shnur-na-samsung-1757818761/?at=mqtk4ygAEFQgg0ALFKD7zEMF2JjloruQgPMBJsj10MrE" TargetMode="External"/><Relationship Id="rId37" Type="http://schemas.openxmlformats.org/officeDocument/2006/relationships/hyperlink" Target="https://www.ozon.ru/product/nabor-neylonovyh-krepleniy-dlya-materinskih-plat-vinty-stoyki-prostavki-vinty-gayki-stoyki-m3-1339511535/?at=z6tOVYmXQcpyprnJH0RVZ8rFyNr9l4HPkk5OGs0jpzGW&amp;reviewsVariantMode=2" TargetMode="External"/><Relationship Id="rId40" Type="http://schemas.openxmlformats.org/officeDocument/2006/relationships/hyperlink" Target="https://www.ozon.ru/product/kw4-3z-l1-5sht-250v-5a-mikrovyklyuchatel-kontsevoy-vyklyuchatel-s-rychagom-16mm-razmery-19-6h10-5h6-2926999632/?at=WPtNoLy1RTwpg0VltOQYYKQh4yP5gRiGQ1P86UzjJkKv&amp;from_sku=1331335762&amp;oos_search=false" TargetMode="External"/><Relationship Id="rId45" Type="http://schemas.openxmlformats.org/officeDocument/2006/relationships/hyperlink" Target="https://www.ozon.ru/product/payalnaya-pasta-mechanic-ms38-nizkotemperaturnaya-138-c-v-shpritse-20-g-solder-paste-sn42bi58-1685309071/?at=pZtp60OjGUvLx9M3hJMXZWYC4NV2DgT8X1jkGszn7p3r" TargetMode="External"/><Relationship Id="rId5" Type="http://schemas.openxmlformats.org/officeDocument/2006/relationships/hyperlink" Target="https://ozon.ru/t/7iHfyYM" TargetMode="External"/><Relationship Id="rId15" Type="http://schemas.openxmlformats.org/officeDocument/2006/relationships/hyperlink" Target="https://www.ozon.ru/product/matek-mateksys-micro-bec-12s-6-60-v-do-5-v-9-v-12-v-adj-ponizhayushchiy-modul-regulyatora-dlya-2869092545/?at=OgtEQLZ6JuJklJ18ik4NZVlSKr0g3mT5ZOEBAHRLEk2Q" TargetMode="External"/><Relationship Id="rId23" Type="http://schemas.openxmlformats.org/officeDocument/2006/relationships/hyperlink" Target="https://www.chipdip.ru/product/lqm21fn100n-10mkgn-0805-30-induktivnost-smd-murata-522934659" TargetMode="External"/><Relationship Id="rId28" Type="http://schemas.openxmlformats.org/officeDocument/2006/relationships/hyperlink" Target="https://www.ozon.ru/product/nakonechnik-dlya-provodov-krasnyy-e0506-0-5mm2-terminal-tipa-e-kabelnyy-500-shtuk-2789745888/?at=gpt4Q1Ng8cApzM4mTY6wXB7C1qMn1KHmRvAk8IBW1ryz" TargetMode="External"/><Relationship Id="rId36" Type="http://schemas.openxmlformats.org/officeDocument/2006/relationships/hyperlink" Target="https://www.chipdip.ru/product/r2g2ch005-rele-miniatyurnoe-2per-5vdc-8a-250vac-shenler-9001108232" TargetMode="External"/><Relationship Id="rId49" Type="http://schemas.openxmlformats.org/officeDocument/2006/relationships/hyperlink" Target="https://www.ozon.ru/product/neodimovyy-magnit-s-zenkovkoy-8xd3x2-10sht-373326175/?utm_medium=organic&amp;utm_source=yandex_serp_products&amp;reviewsVariantMode=2" TargetMode="External"/><Relationship Id="rId10" Type="http://schemas.openxmlformats.org/officeDocument/2006/relationships/hyperlink" Target="https://ozon.ru/t/quv9NAN" TargetMode="External"/><Relationship Id="rId19" Type="http://schemas.openxmlformats.org/officeDocument/2006/relationships/hyperlink" Target="https://www.chipdip.ru/product/dg127-5.0-02p-14-00z-h-klemmnik-vintovoy-degson-9000273919" TargetMode="External"/><Relationship Id="rId31" Type="http://schemas.openxmlformats.org/officeDocument/2006/relationships/hyperlink" Target="https://www.ozon.ru/product/peremychka-dzhamper-tsvetnye-shag-2-54-jumper-25-shtuk-3055894231/?at=A6tGqpwn7cklxQmxFQ5zoPF29lP5GCPyVooHR7rOBp" TargetMode="External"/><Relationship Id="rId44" Type="http://schemas.openxmlformats.org/officeDocument/2006/relationships/hyperlink" Target="https://www.chipdip.ru/product/ds1040-05rn-dip-pereklyuchatel-5pin-krasnyy-connfly-9000190974" TargetMode="External"/><Relationship Id="rId4" Type="http://schemas.openxmlformats.org/officeDocument/2006/relationships/hyperlink" Target="https://ozon.ru/t/7iHfLuo" TargetMode="External"/><Relationship Id="rId9" Type="http://schemas.openxmlformats.org/officeDocument/2006/relationships/hyperlink" Target="https://ozon.ru/t/8DWRdur" TargetMode="External"/><Relationship Id="rId14" Type="http://schemas.openxmlformats.org/officeDocument/2006/relationships/hyperlink" Target="https://www.ozon.ru/product/nozhnitsy-dlya-rukodeliya-kantselyarskie-universalnye-dlya-bumagi-kartona-i-rukodeliya-nabor-3-1474750032/?utm_medium=organic&amp;utm_source=yandex_serp_products" TargetMode="External"/><Relationship Id="rId22" Type="http://schemas.openxmlformats.org/officeDocument/2006/relationships/hyperlink" Target="https://www.ozon.ru/product/derzhatel-predohranitelya-5h20-blx-a-10-sht-6a-250v-s-kryshkoy-na-panel-korpusa-platu-plastik-1443527967/?at=6WtZw62p1CwVAP13U1QW8p5IjkrDEvFJXjNZFJzWnX9" TargetMode="External"/><Relationship Id="rId27" Type="http://schemas.openxmlformats.org/officeDocument/2006/relationships/hyperlink" Target="https://www.ozon.ru/product/nabor-klemm-xh2-54-soediniteli-provodov-kontaktnyy-razem-230-sht-v-keyse-1346848375/?at=LZtl8BxM2s59pLNyFE6r1x8IxAOqxPUk1D3gKH4oyRzg" TargetMode="External"/><Relationship Id="rId30" Type="http://schemas.openxmlformats.org/officeDocument/2006/relationships/hyperlink" Target="https://www.chipdip.ru/product/nup4114hmr6t1g-diod-diodnaya-sborka-6-5v-on-semiconductor-8048524619" TargetMode="External"/><Relationship Id="rId35" Type="http://schemas.openxmlformats.org/officeDocument/2006/relationships/hyperlink" Target="https://www.ozon.ru/product/kabel-signalnoy-provodki-ekranirovannyy-gibkiy-rvvp-4h0-2kv-mm-pvh-kruglyy-2-metra-1643871899/?at=k2toGyk0Eh7p9BONu4WM6PEf0pL4n7HAyDngjIZ1og3D&amp;from_sku=1916856942&amp;oos_search=false" TargetMode="External"/><Relationship Id="rId43" Type="http://schemas.openxmlformats.org/officeDocument/2006/relationships/hyperlink" Target="https://www.chipdip.ru/product/ds1040-04rn-dip-pereklyuchatel-4pin-krasnyy-connfly-9000190957" TargetMode="External"/><Relationship Id="rId48" Type="http://schemas.openxmlformats.org/officeDocument/2006/relationships/hyperlink" Target="https://www.ozon.ru/product/magnitnoe-kreplenie-10h3-s-zenkovkoy-3-5-h7-50-sht-1994481767/?from_sku=1994502364&amp;oos_search=false" TargetMode="External"/><Relationship Id="rId8" Type="http://schemas.openxmlformats.org/officeDocument/2006/relationships/hyperlink" Target="https://ozon.ru/t/jhp13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7"/>
  <sheetViews>
    <sheetView tabSelected="1" workbookViewId="0"/>
  </sheetViews>
  <sheetFormatPr defaultColWidth="12.6640625" defaultRowHeight="15.75" customHeight="1" x14ac:dyDescent="0.25"/>
  <cols>
    <col min="1" max="1" width="23" customWidth="1"/>
    <col min="5" max="5" width="23.109375" customWidth="1"/>
    <col min="6" max="6" width="22" customWidth="1"/>
    <col min="8" max="8" width="20.21875" customWidth="1"/>
    <col min="9" max="9" width="9.33203125" customWidth="1"/>
  </cols>
  <sheetData>
    <row r="1" spans="1:10" x14ac:dyDescent="0.25">
      <c r="A1" s="1"/>
      <c r="B1" s="2"/>
      <c r="C1" s="2"/>
      <c r="D1" s="3"/>
      <c r="E1" s="4"/>
      <c r="F1" s="5"/>
    </row>
    <row r="2" spans="1:10" x14ac:dyDescent="0.25">
      <c r="A2" s="6" t="s">
        <v>8</v>
      </c>
      <c r="B2" s="7">
        <v>1</v>
      </c>
      <c r="C2" s="7">
        <v>480</v>
      </c>
      <c r="D2" s="8">
        <f t="shared" ref="D2:D73" si="0">B2*C2</f>
        <v>480</v>
      </c>
      <c r="E2" s="9" t="s">
        <v>9</v>
      </c>
      <c r="F2" s="10" t="s">
        <v>10</v>
      </c>
    </row>
    <row r="3" spans="1:10" x14ac:dyDescent="0.25">
      <c r="A3" s="6" t="s">
        <v>11</v>
      </c>
      <c r="B3" s="7">
        <v>1</v>
      </c>
      <c r="C3" s="7">
        <v>440</v>
      </c>
      <c r="D3" s="8">
        <f t="shared" si="0"/>
        <v>440</v>
      </c>
      <c r="E3" s="9" t="s">
        <v>9</v>
      </c>
      <c r="F3" s="10" t="s">
        <v>10</v>
      </c>
    </row>
    <row r="4" spans="1:10" x14ac:dyDescent="0.25">
      <c r="A4" s="6" t="s">
        <v>12</v>
      </c>
      <c r="B4" s="7">
        <v>2</v>
      </c>
      <c r="C4" s="7">
        <v>134</v>
      </c>
      <c r="D4" s="8">
        <f t="shared" si="0"/>
        <v>268</v>
      </c>
      <c r="E4" s="11" t="s">
        <v>9</v>
      </c>
      <c r="F4" s="10" t="s">
        <v>13</v>
      </c>
    </row>
    <row r="5" spans="1:10" x14ac:dyDescent="0.25">
      <c r="A5" s="6" t="s">
        <v>14</v>
      </c>
      <c r="B5" s="7">
        <v>1</v>
      </c>
      <c r="C5" s="7">
        <v>93</v>
      </c>
      <c r="D5" s="8">
        <f t="shared" si="0"/>
        <v>93</v>
      </c>
      <c r="E5" s="11" t="s">
        <v>9</v>
      </c>
      <c r="F5" s="12"/>
      <c r="H5" s="13" t="s">
        <v>15</v>
      </c>
      <c r="I5" s="13">
        <v>4153</v>
      </c>
    </row>
    <row r="6" spans="1:10" x14ac:dyDescent="0.25">
      <c r="A6" s="6" t="s">
        <v>16</v>
      </c>
      <c r="B6" s="6">
        <v>2</v>
      </c>
      <c r="C6" s="6">
        <v>460</v>
      </c>
      <c r="D6" s="8">
        <f t="shared" si="0"/>
        <v>920</v>
      </c>
      <c r="E6" s="11" t="s">
        <v>17</v>
      </c>
      <c r="F6" s="6" t="s">
        <v>18</v>
      </c>
      <c r="H6" s="13" t="s">
        <v>19</v>
      </c>
      <c r="I6" s="13">
        <v>1128</v>
      </c>
    </row>
    <row r="7" spans="1:10" x14ac:dyDescent="0.25">
      <c r="A7" s="6" t="s">
        <v>20</v>
      </c>
      <c r="B7" s="6">
        <v>1</v>
      </c>
      <c r="C7" s="6">
        <v>200</v>
      </c>
      <c r="D7" s="8">
        <f t="shared" si="0"/>
        <v>200</v>
      </c>
      <c r="E7" s="11" t="s">
        <v>17</v>
      </c>
      <c r="F7" s="14" t="s">
        <v>21</v>
      </c>
      <c r="H7" s="13" t="s">
        <v>22</v>
      </c>
      <c r="I7" s="13">
        <v>1039</v>
      </c>
    </row>
    <row r="8" spans="1:10" x14ac:dyDescent="0.25">
      <c r="A8" s="6" t="s">
        <v>23</v>
      </c>
      <c r="B8" s="6">
        <v>1</v>
      </c>
      <c r="C8" s="6">
        <v>200</v>
      </c>
      <c r="D8" s="8">
        <f t="shared" si="0"/>
        <v>200</v>
      </c>
      <c r="E8" s="11" t="s">
        <v>17</v>
      </c>
      <c r="F8" s="6" t="s">
        <v>21</v>
      </c>
      <c r="H8" s="13" t="s">
        <v>24</v>
      </c>
      <c r="I8" s="13">
        <v>319</v>
      </c>
    </row>
    <row r="9" spans="1:10" x14ac:dyDescent="0.25">
      <c r="A9" s="6" t="s">
        <v>25</v>
      </c>
      <c r="B9" s="6">
        <v>1</v>
      </c>
      <c r="C9" s="6">
        <v>470</v>
      </c>
      <c r="D9" s="8">
        <f t="shared" si="0"/>
        <v>470</v>
      </c>
      <c r="E9" s="11" t="s">
        <v>9</v>
      </c>
      <c r="F9" s="6" t="s">
        <v>26</v>
      </c>
      <c r="H9" s="13" t="s">
        <v>27</v>
      </c>
      <c r="I9" s="13">
        <v>346</v>
      </c>
    </row>
    <row r="10" spans="1:10" x14ac:dyDescent="0.25">
      <c r="A10" s="6" t="s">
        <v>28</v>
      </c>
      <c r="B10" s="6">
        <v>1</v>
      </c>
      <c r="C10" s="6">
        <v>270</v>
      </c>
      <c r="D10" s="8">
        <f t="shared" si="0"/>
        <v>270</v>
      </c>
      <c r="E10" s="11" t="s">
        <v>17</v>
      </c>
      <c r="F10" s="6" t="s">
        <v>29</v>
      </c>
      <c r="I10" s="15">
        <f>SUM(I5:I9)</f>
        <v>6985</v>
      </c>
    </row>
    <row r="11" spans="1:10" x14ac:dyDescent="0.25">
      <c r="A11" s="6" t="s">
        <v>30</v>
      </c>
      <c r="B11" s="6">
        <v>1</v>
      </c>
      <c r="C11" s="6">
        <v>370</v>
      </c>
      <c r="D11" s="8">
        <f t="shared" si="0"/>
        <v>370</v>
      </c>
      <c r="E11" s="11" t="s">
        <v>31</v>
      </c>
      <c r="F11" s="6" t="s">
        <v>32</v>
      </c>
    </row>
    <row r="12" spans="1:10" x14ac:dyDescent="0.25">
      <c r="A12" s="6" t="s">
        <v>33</v>
      </c>
      <c r="B12" s="6">
        <v>1</v>
      </c>
      <c r="C12" s="6">
        <v>720</v>
      </c>
      <c r="D12" s="8">
        <f t="shared" si="0"/>
        <v>720</v>
      </c>
      <c r="E12" s="11" t="s">
        <v>9</v>
      </c>
      <c r="F12" s="6" t="s">
        <v>32</v>
      </c>
    </row>
    <row r="13" spans="1:10" x14ac:dyDescent="0.25">
      <c r="A13" s="6" t="s">
        <v>34</v>
      </c>
      <c r="B13" s="6">
        <v>1</v>
      </c>
      <c r="C13" s="6">
        <v>300</v>
      </c>
      <c r="D13" s="8">
        <f t="shared" si="0"/>
        <v>300</v>
      </c>
      <c r="E13" s="11" t="s">
        <v>9</v>
      </c>
      <c r="F13" s="6" t="s">
        <v>10</v>
      </c>
    </row>
    <row r="14" spans="1:10" x14ac:dyDescent="0.25">
      <c r="A14" s="6" t="s">
        <v>35</v>
      </c>
      <c r="B14" s="6">
        <v>1</v>
      </c>
      <c r="C14" s="6">
        <v>350</v>
      </c>
      <c r="D14" s="8">
        <f t="shared" si="0"/>
        <v>350</v>
      </c>
      <c r="E14" s="11" t="s">
        <v>36</v>
      </c>
      <c r="F14" s="6" t="s">
        <v>10</v>
      </c>
    </row>
    <row r="15" spans="1:10" x14ac:dyDescent="0.25">
      <c r="A15" s="6" t="s">
        <v>37</v>
      </c>
      <c r="B15" s="7">
        <v>2</v>
      </c>
      <c r="C15" s="7">
        <v>33</v>
      </c>
      <c r="D15" s="8">
        <f t="shared" si="0"/>
        <v>66</v>
      </c>
      <c r="E15" s="9" t="s">
        <v>38</v>
      </c>
      <c r="F15" s="16"/>
      <c r="J15" s="17" t="s">
        <v>39</v>
      </c>
    </row>
    <row r="16" spans="1:10" x14ac:dyDescent="0.25">
      <c r="A16" s="7" t="s">
        <v>40</v>
      </c>
      <c r="B16" s="7">
        <v>3</v>
      </c>
      <c r="C16" s="7">
        <v>7</v>
      </c>
      <c r="D16" s="8">
        <f t="shared" si="0"/>
        <v>21</v>
      </c>
      <c r="E16" s="9" t="s">
        <v>38</v>
      </c>
      <c r="F16" s="16"/>
    </row>
    <row r="17" spans="1:6" x14ac:dyDescent="0.25">
      <c r="A17" s="7" t="s">
        <v>41</v>
      </c>
      <c r="B17" s="7">
        <v>3</v>
      </c>
      <c r="C17" s="7">
        <v>8</v>
      </c>
      <c r="D17" s="8">
        <f t="shared" si="0"/>
        <v>24</v>
      </c>
      <c r="E17" s="9" t="s">
        <v>38</v>
      </c>
      <c r="F17" s="16"/>
    </row>
    <row r="18" spans="1:6" x14ac:dyDescent="0.25">
      <c r="A18" s="7" t="s">
        <v>42</v>
      </c>
      <c r="B18" s="7">
        <v>3</v>
      </c>
      <c r="C18" s="7">
        <v>8</v>
      </c>
      <c r="D18" s="8">
        <f t="shared" si="0"/>
        <v>24</v>
      </c>
      <c r="E18" s="9" t="s">
        <v>38</v>
      </c>
      <c r="F18" s="16"/>
    </row>
    <row r="19" spans="1:6" x14ac:dyDescent="0.25">
      <c r="A19" s="7" t="s">
        <v>43</v>
      </c>
      <c r="B19" s="7">
        <v>3</v>
      </c>
      <c r="C19" s="7">
        <v>7</v>
      </c>
      <c r="D19" s="8">
        <f t="shared" si="0"/>
        <v>21</v>
      </c>
      <c r="E19" s="9" t="s">
        <v>38</v>
      </c>
      <c r="F19" s="16"/>
    </row>
    <row r="20" spans="1:6" x14ac:dyDescent="0.25">
      <c r="A20" s="7" t="s">
        <v>44</v>
      </c>
      <c r="B20" s="7">
        <v>3</v>
      </c>
      <c r="C20" s="7">
        <v>8</v>
      </c>
      <c r="D20" s="8">
        <f t="shared" si="0"/>
        <v>24</v>
      </c>
      <c r="E20" s="9" t="s">
        <v>38</v>
      </c>
      <c r="F20" s="16"/>
    </row>
    <row r="21" spans="1:6" x14ac:dyDescent="0.25">
      <c r="A21" s="7" t="s">
        <v>45</v>
      </c>
      <c r="B21" s="7">
        <v>3</v>
      </c>
      <c r="C21" s="7">
        <v>8</v>
      </c>
      <c r="D21" s="8">
        <f t="shared" si="0"/>
        <v>24</v>
      </c>
      <c r="E21" s="9" t="s">
        <v>38</v>
      </c>
      <c r="F21" s="16"/>
    </row>
    <row r="22" spans="1:6" x14ac:dyDescent="0.25">
      <c r="A22" s="7" t="s">
        <v>46</v>
      </c>
      <c r="B22" s="7">
        <v>3</v>
      </c>
      <c r="C22" s="7">
        <v>140</v>
      </c>
      <c r="D22" s="8">
        <f t="shared" si="0"/>
        <v>420</v>
      </c>
      <c r="E22" s="9" t="s">
        <v>7</v>
      </c>
      <c r="F22" s="16"/>
    </row>
    <row r="23" spans="1:6" x14ac:dyDescent="0.25">
      <c r="A23" s="7" t="s">
        <v>47</v>
      </c>
      <c r="B23" s="7">
        <v>1</v>
      </c>
      <c r="C23" s="7">
        <v>100</v>
      </c>
      <c r="D23" s="8">
        <f t="shared" si="0"/>
        <v>100</v>
      </c>
      <c r="E23" s="9" t="s">
        <v>9</v>
      </c>
      <c r="F23" s="7" t="s">
        <v>48</v>
      </c>
    </row>
    <row r="24" spans="1:6" x14ac:dyDescent="0.25">
      <c r="A24" s="7" t="s">
        <v>49</v>
      </c>
      <c r="B24" s="7">
        <v>1</v>
      </c>
      <c r="C24" s="7">
        <v>103</v>
      </c>
      <c r="D24" s="8">
        <f t="shared" si="0"/>
        <v>103</v>
      </c>
      <c r="E24" s="9" t="s">
        <v>9</v>
      </c>
      <c r="F24" s="7" t="s">
        <v>18</v>
      </c>
    </row>
    <row r="25" spans="1:6" x14ac:dyDescent="0.25">
      <c r="A25" s="7" t="s">
        <v>50</v>
      </c>
      <c r="B25" s="7">
        <v>2</v>
      </c>
      <c r="C25" s="7">
        <v>100</v>
      </c>
      <c r="D25" s="8">
        <f t="shared" si="0"/>
        <v>200</v>
      </c>
      <c r="E25" s="9" t="s">
        <v>9</v>
      </c>
      <c r="F25" s="7"/>
    </row>
    <row r="26" spans="1:6" x14ac:dyDescent="0.25">
      <c r="A26" s="7" t="s">
        <v>51</v>
      </c>
      <c r="B26" s="7">
        <v>2</v>
      </c>
      <c r="C26" s="7">
        <v>150</v>
      </c>
      <c r="D26" s="8">
        <f t="shared" si="0"/>
        <v>300</v>
      </c>
      <c r="E26" s="9" t="s">
        <v>9</v>
      </c>
      <c r="F26" s="7"/>
    </row>
    <row r="27" spans="1:6" x14ac:dyDescent="0.25">
      <c r="A27" s="7" t="s">
        <v>52</v>
      </c>
      <c r="B27" s="7">
        <v>2</v>
      </c>
      <c r="C27" s="7">
        <v>150</v>
      </c>
      <c r="D27" s="8">
        <f t="shared" si="0"/>
        <v>300</v>
      </c>
      <c r="E27" s="9" t="s">
        <v>9</v>
      </c>
      <c r="F27" s="7"/>
    </row>
    <row r="28" spans="1:6" x14ac:dyDescent="0.25">
      <c r="A28" s="7" t="s">
        <v>53</v>
      </c>
      <c r="B28" s="7">
        <v>1</v>
      </c>
      <c r="C28" s="7">
        <v>70</v>
      </c>
      <c r="D28" s="8">
        <f t="shared" si="0"/>
        <v>70</v>
      </c>
      <c r="E28" s="9" t="s">
        <v>9</v>
      </c>
      <c r="F28" s="7" t="s">
        <v>13</v>
      </c>
    </row>
    <row r="29" spans="1:6" x14ac:dyDescent="0.25">
      <c r="A29" s="7" t="s">
        <v>54</v>
      </c>
      <c r="B29" s="7">
        <v>1</v>
      </c>
      <c r="C29" s="7">
        <v>300</v>
      </c>
      <c r="D29" s="8">
        <f t="shared" si="0"/>
        <v>300</v>
      </c>
      <c r="E29" s="9" t="s">
        <v>9</v>
      </c>
      <c r="F29" s="7" t="s">
        <v>55</v>
      </c>
    </row>
    <row r="30" spans="1:6" x14ac:dyDescent="0.25">
      <c r="A30" s="7" t="s">
        <v>56</v>
      </c>
      <c r="B30" s="7">
        <v>10</v>
      </c>
      <c r="C30" s="7">
        <v>5</v>
      </c>
      <c r="D30" s="8">
        <f t="shared" si="0"/>
        <v>50</v>
      </c>
      <c r="E30" s="9" t="s">
        <v>38</v>
      </c>
      <c r="F30" s="7" t="s">
        <v>57</v>
      </c>
    </row>
    <row r="31" spans="1:6" x14ac:dyDescent="0.25">
      <c r="A31" s="7" t="s">
        <v>58</v>
      </c>
      <c r="B31" s="7">
        <v>2</v>
      </c>
      <c r="C31" s="7">
        <v>65</v>
      </c>
      <c r="D31" s="8">
        <f t="shared" si="0"/>
        <v>130</v>
      </c>
      <c r="E31" s="9" t="s">
        <v>38</v>
      </c>
      <c r="F31" s="7"/>
    </row>
    <row r="32" spans="1:6" x14ac:dyDescent="0.25">
      <c r="A32" s="7" t="s">
        <v>59</v>
      </c>
      <c r="B32" s="7">
        <v>5</v>
      </c>
      <c r="C32" s="7">
        <v>20</v>
      </c>
      <c r="D32" s="8">
        <f t="shared" si="0"/>
        <v>100</v>
      </c>
      <c r="E32" s="9" t="s">
        <v>38</v>
      </c>
      <c r="F32" s="7" t="s">
        <v>57</v>
      </c>
    </row>
    <row r="33" spans="1:6" x14ac:dyDescent="0.25">
      <c r="A33" s="7" t="s">
        <v>60</v>
      </c>
      <c r="B33" s="7">
        <v>2</v>
      </c>
      <c r="C33" s="7">
        <v>43</v>
      </c>
      <c r="D33" s="8">
        <f t="shared" si="0"/>
        <v>86</v>
      </c>
      <c r="E33" s="9" t="s">
        <v>38</v>
      </c>
      <c r="F33" s="7"/>
    </row>
    <row r="34" spans="1:6" x14ac:dyDescent="0.25">
      <c r="A34" s="7" t="s">
        <v>61</v>
      </c>
      <c r="B34" s="7">
        <v>2</v>
      </c>
      <c r="C34" s="7">
        <v>26</v>
      </c>
      <c r="D34" s="8">
        <f t="shared" si="0"/>
        <v>52</v>
      </c>
      <c r="E34" s="9" t="s">
        <v>38</v>
      </c>
      <c r="F34" s="7"/>
    </row>
    <row r="35" spans="1:6" x14ac:dyDescent="0.25">
      <c r="A35" s="7" t="s">
        <v>62</v>
      </c>
      <c r="B35" s="7">
        <v>1</v>
      </c>
      <c r="C35" s="7">
        <v>100</v>
      </c>
      <c r="D35" s="8">
        <f t="shared" si="0"/>
        <v>100</v>
      </c>
      <c r="E35" s="9" t="s">
        <v>9</v>
      </c>
      <c r="F35" s="7" t="s">
        <v>63</v>
      </c>
    </row>
    <row r="36" spans="1:6" x14ac:dyDescent="0.25">
      <c r="A36" s="7" t="s">
        <v>64</v>
      </c>
      <c r="B36" s="7">
        <v>1</v>
      </c>
      <c r="C36" s="7">
        <v>85</v>
      </c>
      <c r="D36" s="8">
        <f t="shared" si="0"/>
        <v>85</v>
      </c>
      <c r="E36" s="9" t="s">
        <v>9</v>
      </c>
      <c r="F36" s="7" t="s">
        <v>10</v>
      </c>
    </row>
    <row r="37" spans="1:6" x14ac:dyDescent="0.25">
      <c r="A37" s="18" t="s">
        <v>65</v>
      </c>
      <c r="B37" s="18">
        <v>1</v>
      </c>
      <c r="C37" s="18">
        <v>389</v>
      </c>
      <c r="D37" s="19">
        <f t="shared" si="0"/>
        <v>389</v>
      </c>
      <c r="E37" s="20" t="s">
        <v>17</v>
      </c>
      <c r="F37" s="18" t="s">
        <v>66</v>
      </c>
    </row>
    <row r="38" spans="1:6" x14ac:dyDescent="0.25">
      <c r="A38" s="18" t="s">
        <v>67</v>
      </c>
      <c r="B38" s="18">
        <v>6</v>
      </c>
      <c r="C38" s="18">
        <v>47</v>
      </c>
      <c r="D38" s="19">
        <f t="shared" si="0"/>
        <v>282</v>
      </c>
      <c r="E38" s="20" t="s">
        <v>7</v>
      </c>
      <c r="F38" s="18"/>
    </row>
    <row r="39" spans="1:6" x14ac:dyDescent="0.25">
      <c r="A39" s="18" t="s">
        <v>68</v>
      </c>
      <c r="B39" s="18">
        <v>3</v>
      </c>
      <c r="C39" s="18">
        <v>100</v>
      </c>
      <c r="D39" s="19">
        <f t="shared" si="0"/>
        <v>300</v>
      </c>
      <c r="E39" s="20" t="s">
        <v>38</v>
      </c>
      <c r="F39" s="18"/>
    </row>
    <row r="40" spans="1:6" x14ac:dyDescent="0.25">
      <c r="A40" s="18" t="s">
        <v>69</v>
      </c>
      <c r="B40" s="18">
        <v>1</v>
      </c>
      <c r="C40" s="18">
        <v>75</v>
      </c>
      <c r="D40" s="19">
        <f t="shared" si="0"/>
        <v>75</v>
      </c>
      <c r="E40" s="20" t="s">
        <v>7</v>
      </c>
      <c r="F40" s="18" t="s">
        <v>70</v>
      </c>
    </row>
    <row r="41" spans="1:6" x14ac:dyDescent="0.25">
      <c r="A41" s="18" t="s">
        <v>71</v>
      </c>
      <c r="B41" s="18">
        <v>5</v>
      </c>
      <c r="C41" s="18">
        <v>15</v>
      </c>
      <c r="D41" s="19">
        <f t="shared" si="0"/>
        <v>75</v>
      </c>
      <c r="E41" s="20" t="s">
        <v>38</v>
      </c>
      <c r="F41" s="18"/>
    </row>
    <row r="42" spans="1:6" x14ac:dyDescent="0.25">
      <c r="A42" s="18" t="s">
        <v>72</v>
      </c>
      <c r="B42" s="18">
        <v>5</v>
      </c>
      <c r="C42" s="18">
        <v>8</v>
      </c>
      <c r="D42" s="19">
        <f t="shared" si="0"/>
        <v>40</v>
      </c>
      <c r="E42" s="20" t="s">
        <v>38</v>
      </c>
      <c r="F42" s="18"/>
    </row>
    <row r="43" spans="1:6" x14ac:dyDescent="0.25">
      <c r="A43" s="18" t="s">
        <v>73</v>
      </c>
      <c r="B43" s="18">
        <v>3</v>
      </c>
      <c r="C43" s="18">
        <v>28</v>
      </c>
      <c r="D43" s="19">
        <f t="shared" si="0"/>
        <v>84</v>
      </c>
      <c r="E43" s="20" t="s">
        <v>38</v>
      </c>
      <c r="F43" s="18"/>
    </row>
    <row r="44" spans="1:6" x14ac:dyDescent="0.25">
      <c r="A44" s="18" t="s">
        <v>74</v>
      </c>
      <c r="B44" s="18">
        <v>1</v>
      </c>
      <c r="C44" s="18">
        <v>990</v>
      </c>
      <c r="D44" s="19">
        <f t="shared" si="0"/>
        <v>990</v>
      </c>
      <c r="E44" s="20" t="s">
        <v>75</v>
      </c>
      <c r="F44" s="20" t="s">
        <v>76</v>
      </c>
    </row>
    <row r="45" spans="1:6" x14ac:dyDescent="0.25">
      <c r="A45" s="21" t="s">
        <v>35</v>
      </c>
      <c r="B45" s="21">
        <v>1</v>
      </c>
      <c r="C45" s="21">
        <v>240</v>
      </c>
      <c r="D45" s="19">
        <f t="shared" si="0"/>
        <v>240</v>
      </c>
      <c r="E45" s="22" t="s">
        <v>77</v>
      </c>
      <c r="F45" s="21" t="s">
        <v>10</v>
      </c>
    </row>
    <row r="46" spans="1:6" x14ac:dyDescent="0.25">
      <c r="A46" s="18" t="s">
        <v>78</v>
      </c>
      <c r="B46" s="18">
        <v>1</v>
      </c>
      <c r="C46" s="18">
        <v>209</v>
      </c>
      <c r="D46" s="19">
        <f t="shared" si="0"/>
        <v>209</v>
      </c>
      <c r="E46" s="20" t="s">
        <v>17</v>
      </c>
      <c r="F46" s="18" t="s">
        <v>79</v>
      </c>
    </row>
    <row r="47" spans="1:6" x14ac:dyDescent="0.25">
      <c r="A47" s="23" t="s">
        <v>80</v>
      </c>
      <c r="B47" s="24">
        <v>10</v>
      </c>
      <c r="C47" s="24">
        <v>20</v>
      </c>
      <c r="D47" s="23">
        <f t="shared" si="0"/>
        <v>200</v>
      </c>
      <c r="E47" s="25" t="s">
        <v>7</v>
      </c>
      <c r="F47" s="26"/>
    </row>
    <row r="48" spans="1:6" x14ac:dyDescent="0.25">
      <c r="A48" s="21" t="s">
        <v>6</v>
      </c>
      <c r="B48" s="21">
        <v>5</v>
      </c>
      <c r="C48" s="21">
        <v>14</v>
      </c>
      <c r="D48" s="19">
        <f t="shared" si="0"/>
        <v>70</v>
      </c>
      <c r="E48" s="22" t="s">
        <v>7</v>
      </c>
      <c r="F48" s="19"/>
    </row>
    <row r="49" spans="1:6" x14ac:dyDescent="0.25">
      <c r="A49" s="18" t="s">
        <v>81</v>
      </c>
      <c r="B49" s="18">
        <v>3</v>
      </c>
      <c r="C49" s="18">
        <v>33</v>
      </c>
      <c r="D49" s="19">
        <f t="shared" si="0"/>
        <v>99</v>
      </c>
      <c r="E49" s="20" t="s">
        <v>7</v>
      </c>
      <c r="F49" s="27"/>
    </row>
    <row r="50" spans="1:6" x14ac:dyDescent="0.25">
      <c r="A50" s="18" t="s">
        <v>46</v>
      </c>
      <c r="B50" s="18">
        <v>2</v>
      </c>
      <c r="C50" s="18">
        <v>110</v>
      </c>
      <c r="D50" s="19">
        <f t="shared" si="0"/>
        <v>220</v>
      </c>
      <c r="E50" s="20" t="s">
        <v>7</v>
      </c>
      <c r="F50" s="27"/>
    </row>
    <row r="51" spans="1:6" x14ac:dyDescent="0.25">
      <c r="A51" s="18" t="s">
        <v>82</v>
      </c>
      <c r="B51" s="18">
        <v>20</v>
      </c>
      <c r="C51" s="18">
        <v>4</v>
      </c>
      <c r="D51" s="19">
        <f t="shared" si="0"/>
        <v>80</v>
      </c>
      <c r="E51" s="20" t="s">
        <v>7</v>
      </c>
      <c r="F51" s="18"/>
    </row>
    <row r="52" spans="1:6" x14ac:dyDescent="0.25">
      <c r="A52" s="18" t="s">
        <v>83</v>
      </c>
      <c r="B52" s="18">
        <v>20</v>
      </c>
      <c r="C52" s="18">
        <v>5</v>
      </c>
      <c r="D52" s="19">
        <f t="shared" si="0"/>
        <v>100</v>
      </c>
      <c r="E52" s="20" t="s">
        <v>7</v>
      </c>
      <c r="F52" s="18"/>
    </row>
    <row r="53" spans="1:6" x14ac:dyDescent="0.25">
      <c r="A53" s="24" t="s">
        <v>84</v>
      </c>
      <c r="B53" s="24">
        <v>1</v>
      </c>
      <c r="C53" s="24">
        <v>373</v>
      </c>
      <c r="D53" s="19">
        <f t="shared" si="0"/>
        <v>373</v>
      </c>
      <c r="E53" s="25" t="s">
        <v>9</v>
      </c>
      <c r="F53" s="28" t="s">
        <v>85</v>
      </c>
    </row>
    <row r="54" spans="1:6" x14ac:dyDescent="0.25">
      <c r="A54" s="18" t="s">
        <v>86</v>
      </c>
      <c r="B54" s="18">
        <v>1</v>
      </c>
      <c r="C54" s="18">
        <v>3213</v>
      </c>
      <c r="D54" s="19">
        <f t="shared" si="0"/>
        <v>3213</v>
      </c>
      <c r="E54" s="20" t="s">
        <v>9</v>
      </c>
      <c r="F54" s="18" t="s">
        <v>87</v>
      </c>
    </row>
    <row r="55" spans="1:6" x14ac:dyDescent="0.25">
      <c r="A55" s="18" t="s">
        <v>88</v>
      </c>
      <c r="B55" s="18">
        <v>1</v>
      </c>
      <c r="C55" s="18">
        <v>347</v>
      </c>
      <c r="D55" s="19">
        <f t="shared" si="0"/>
        <v>347</v>
      </c>
      <c r="E55" s="20" t="s">
        <v>9</v>
      </c>
      <c r="F55" s="18" t="s">
        <v>89</v>
      </c>
    </row>
    <row r="56" spans="1:6" x14ac:dyDescent="0.25">
      <c r="A56" s="18" t="s">
        <v>90</v>
      </c>
      <c r="B56" s="18">
        <v>1</v>
      </c>
      <c r="C56" s="18">
        <v>1011</v>
      </c>
      <c r="D56" s="19">
        <f t="shared" si="0"/>
        <v>1011</v>
      </c>
      <c r="E56" s="20" t="s">
        <v>91</v>
      </c>
      <c r="F56" s="29"/>
    </row>
    <row r="57" spans="1:6" x14ac:dyDescent="0.25">
      <c r="A57" s="18" t="s">
        <v>92</v>
      </c>
      <c r="B57" s="18">
        <v>1</v>
      </c>
      <c r="C57" s="18">
        <v>1258</v>
      </c>
      <c r="D57" s="19">
        <f t="shared" si="0"/>
        <v>1258</v>
      </c>
      <c r="E57" s="20" t="s">
        <v>93</v>
      </c>
      <c r="F57" s="29"/>
    </row>
    <row r="58" spans="1:6" x14ac:dyDescent="0.25">
      <c r="A58" s="18" t="s">
        <v>94</v>
      </c>
      <c r="B58" s="18">
        <v>1</v>
      </c>
      <c r="C58" s="18">
        <v>226</v>
      </c>
      <c r="D58" s="19">
        <f t="shared" si="0"/>
        <v>226</v>
      </c>
      <c r="E58" s="20" t="s">
        <v>95</v>
      </c>
      <c r="F58" s="29"/>
    </row>
    <row r="59" spans="1:6" x14ac:dyDescent="0.25">
      <c r="A59" s="30" t="s">
        <v>96</v>
      </c>
      <c r="B59" s="30">
        <v>1</v>
      </c>
      <c r="C59" s="30">
        <v>3648</v>
      </c>
      <c r="D59" s="31">
        <f t="shared" si="0"/>
        <v>3648</v>
      </c>
      <c r="E59" s="32" t="s">
        <v>97</v>
      </c>
      <c r="F59" s="33" t="s">
        <v>98</v>
      </c>
    </row>
    <row r="60" spans="1:6" x14ac:dyDescent="0.25">
      <c r="A60" s="18" t="s">
        <v>99</v>
      </c>
      <c r="B60" s="18">
        <v>2</v>
      </c>
      <c r="C60" s="18">
        <v>260</v>
      </c>
      <c r="D60" s="19">
        <f t="shared" si="0"/>
        <v>520</v>
      </c>
      <c r="E60" s="20" t="s">
        <v>100</v>
      </c>
      <c r="F60" s="29"/>
    </row>
    <row r="61" spans="1:6" x14ac:dyDescent="0.25">
      <c r="A61" s="18" t="s">
        <v>40</v>
      </c>
      <c r="B61" s="18">
        <v>5</v>
      </c>
      <c r="C61" s="18">
        <v>7</v>
      </c>
      <c r="D61" s="19">
        <f t="shared" si="0"/>
        <v>35</v>
      </c>
      <c r="E61" s="20" t="s">
        <v>38</v>
      </c>
      <c r="F61" s="27"/>
    </row>
    <row r="62" spans="1:6" x14ac:dyDescent="0.25">
      <c r="A62" s="18" t="s">
        <v>83</v>
      </c>
      <c r="B62" s="18">
        <v>20</v>
      </c>
      <c r="C62" s="18">
        <v>5</v>
      </c>
      <c r="D62" s="19">
        <f t="shared" si="0"/>
        <v>100</v>
      </c>
      <c r="E62" s="20" t="s">
        <v>7</v>
      </c>
      <c r="F62" s="18"/>
    </row>
    <row r="63" spans="1:6" x14ac:dyDescent="0.25">
      <c r="A63" s="34"/>
      <c r="B63" s="34"/>
      <c r="C63" s="34"/>
      <c r="D63" s="35">
        <f t="shared" si="0"/>
        <v>0</v>
      </c>
      <c r="E63" s="36"/>
      <c r="F63" s="36"/>
    </row>
    <row r="64" spans="1:6" x14ac:dyDescent="0.25">
      <c r="A64" s="34"/>
      <c r="B64" s="34"/>
      <c r="C64" s="34"/>
      <c r="D64" s="35">
        <f t="shared" si="0"/>
        <v>0</v>
      </c>
      <c r="E64" s="36"/>
      <c r="F64" s="36"/>
    </row>
    <row r="65" spans="1:6" x14ac:dyDescent="0.25">
      <c r="A65" s="34"/>
      <c r="B65" s="34"/>
      <c r="C65" s="34"/>
      <c r="D65" s="35">
        <f t="shared" si="0"/>
        <v>0</v>
      </c>
      <c r="E65" s="36"/>
      <c r="F65" s="36"/>
    </row>
    <row r="66" spans="1:6" x14ac:dyDescent="0.25">
      <c r="A66" s="34"/>
      <c r="B66" s="34"/>
      <c r="C66" s="34"/>
      <c r="D66" s="35">
        <f t="shared" si="0"/>
        <v>0</v>
      </c>
      <c r="E66" s="36"/>
      <c r="F66" s="36"/>
    </row>
    <row r="67" spans="1:6" x14ac:dyDescent="0.25">
      <c r="A67" s="34"/>
      <c r="B67" s="34"/>
      <c r="C67" s="34"/>
      <c r="D67" s="35">
        <f t="shared" si="0"/>
        <v>0</v>
      </c>
      <c r="E67" s="36"/>
      <c r="F67" s="36"/>
    </row>
    <row r="68" spans="1:6" x14ac:dyDescent="0.25">
      <c r="A68" s="34"/>
      <c r="B68" s="34"/>
      <c r="C68" s="34"/>
      <c r="D68" s="35">
        <f t="shared" si="0"/>
        <v>0</v>
      </c>
      <c r="E68" s="36"/>
      <c r="F68" s="36"/>
    </row>
    <row r="69" spans="1:6" x14ac:dyDescent="0.25">
      <c r="A69" s="34"/>
      <c r="B69" s="34"/>
      <c r="C69" s="34"/>
      <c r="D69" s="35">
        <f t="shared" si="0"/>
        <v>0</v>
      </c>
      <c r="E69" s="36"/>
      <c r="F69" s="36"/>
    </row>
    <row r="70" spans="1:6" x14ac:dyDescent="0.25">
      <c r="A70" s="34"/>
      <c r="B70" s="34"/>
      <c r="C70" s="34"/>
      <c r="D70" s="35">
        <f t="shared" si="0"/>
        <v>0</v>
      </c>
      <c r="E70" s="36"/>
      <c r="F70" s="36"/>
    </row>
    <row r="71" spans="1:6" x14ac:dyDescent="0.25">
      <c r="A71" s="34"/>
      <c r="B71" s="34"/>
      <c r="C71" s="34"/>
      <c r="D71" s="35">
        <f t="shared" si="0"/>
        <v>0</v>
      </c>
      <c r="E71" s="36"/>
      <c r="F71" s="36"/>
    </row>
    <row r="72" spans="1:6" x14ac:dyDescent="0.25">
      <c r="A72" s="34"/>
      <c r="B72" s="34"/>
      <c r="C72" s="34"/>
      <c r="D72" s="35">
        <f t="shared" si="0"/>
        <v>0</v>
      </c>
      <c r="E72" s="36"/>
      <c r="F72" s="36"/>
    </row>
    <row r="73" spans="1:6" x14ac:dyDescent="0.25">
      <c r="A73" s="34"/>
      <c r="B73" s="34"/>
      <c r="C73" s="34"/>
      <c r="D73" s="35">
        <f t="shared" si="0"/>
        <v>0</v>
      </c>
      <c r="E73" s="36"/>
      <c r="F73" s="36"/>
    </row>
    <row r="74" spans="1:6" x14ac:dyDescent="0.25">
      <c r="E74" s="37"/>
      <c r="F74" s="38"/>
    </row>
    <row r="75" spans="1:6" x14ac:dyDescent="0.25">
      <c r="E75" s="37"/>
      <c r="F75" s="38"/>
    </row>
    <row r="76" spans="1:6" x14ac:dyDescent="0.25">
      <c r="E76" s="37"/>
      <c r="F76" s="38"/>
    </row>
    <row r="77" spans="1:6" x14ac:dyDescent="0.25">
      <c r="E77" s="37"/>
      <c r="F77" s="38"/>
    </row>
    <row r="78" spans="1:6" x14ac:dyDescent="0.25">
      <c r="E78" s="37"/>
      <c r="F78" s="38"/>
    </row>
    <row r="79" spans="1:6" x14ac:dyDescent="0.25">
      <c r="E79" s="37"/>
      <c r="F79" s="38"/>
    </row>
    <row r="80" spans="1:6" x14ac:dyDescent="0.25">
      <c r="E80" s="37"/>
      <c r="F80" s="38"/>
    </row>
    <row r="81" spans="5:6" x14ac:dyDescent="0.25">
      <c r="E81" s="37"/>
      <c r="F81" s="38"/>
    </row>
    <row r="82" spans="5:6" x14ac:dyDescent="0.25">
      <c r="E82" s="37"/>
      <c r="F82" s="38"/>
    </row>
    <row r="83" spans="5:6" x14ac:dyDescent="0.25">
      <c r="E83" s="37"/>
      <c r="F83" s="38"/>
    </row>
    <row r="84" spans="5:6" x14ac:dyDescent="0.25">
      <c r="E84" s="37"/>
      <c r="F84" s="38"/>
    </row>
    <row r="85" spans="5:6" x14ac:dyDescent="0.25">
      <c r="E85" s="37"/>
      <c r="F85" s="38"/>
    </row>
    <row r="86" spans="5:6" x14ac:dyDescent="0.25">
      <c r="E86" s="37"/>
      <c r="F86" s="38"/>
    </row>
    <row r="87" spans="5:6" x14ac:dyDescent="0.25">
      <c r="E87" s="37"/>
      <c r="F87" s="38"/>
    </row>
    <row r="88" spans="5:6" x14ac:dyDescent="0.25">
      <c r="E88" s="37"/>
      <c r="F88" s="38"/>
    </row>
    <row r="89" spans="5:6" x14ac:dyDescent="0.25">
      <c r="E89" s="37"/>
      <c r="F89" s="38"/>
    </row>
    <row r="90" spans="5:6" x14ac:dyDescent="0.25">
      <c r="E90" s="37"/>
      <c r="F90" s="38"/>
    </row>
    <row r="91" spans="5:6" x14ac:dyDescent="0.25">
      <c r="E91" s="37"/>
      <c r="F91" s="38"/>
    </row>
    <row r="92" spans="5:6" x14ac:dyDescent="0.25">
      <c r="E92" s="37"/>
      <c r="F92" s="38"/>
    </row>
    <row r="93" spans="5:6" x14ac:dyDescent="0.25">
      <c r="E93" s="37"/>
      <c r="F93" s="38"/>
    </row>
    <row r="94" spans="5:6" x14ac:dyDescent="0.25">
      <c r="E94" s="37"/>
      <c r="F94" s="38"/>
    </row>
    <row r="95" spans="5:6" x14ac:dyDescent="0.25">
      <c r="E95" s="37"/>
      <c r="F95" s="38"/>
    </row>
    <row r="96" spans="5:6" x14ac:dyDescent="0.25">
      <c r="E96" s="37"/>
      <c r="F96" s="38"/>
    </row>
    <row r="97" spans="5:6" x14ac:dyDescent="0.25">
      <c r="E97" s="37"/>
      <c r="F97" s="38"/>
    </row>
    <row r="98" spans="5:6" x14ac:dyDescent="0.25">
      <c r="E98" s="37"/>
      <c r="F98" s="38"/>
    </row>
    <row r="99" spans="5:6" x14ac:dyDescent="0.25">
      <c r="E99" s="37"/>
      <c r="F99" s="38"/>
    </row>
    <row r="100" spans="5:6" x14ac:dyDescent="0.25">
      <c r="E100" s="37"/>
      <c r="F100" s="38"/>
    </row>
    <row r="101" spans="5:6" x14ac:dyDescent="0.25">
      <c r="E101" s="37"/>
      <c r="F101" s="38"/>
    </row>
    <row r="102" spans="5:6" x14ac:dyDescent="0.25">
      <c r="E102" s="37"/>
      <c r="F102" s="38"/>
    </row>
    <row r="103" spans="5:6" x14ac:dyDescent="0.25">
      <c r="E103" s="37"/>
      <c r="F103" s="38"/>
    </row>
    <row r="104" spans="5:6" x14ac:dyDescent="0.25">
      <c r="E104" s="37"/>
      <c r="F104" s="38"/>
    </row>
    <row r="105" spans="5:6" x14ac:dyDescent="0.25">
      <c r="E105" s="37"/>
      <c r="F105" s="38"/>
    </row>
    <row r="106" spans="5:6" x14ac:dyDescent="0.25">
      <c r="E106" s="37"/>
      <c r="F106" s="38"/>
    </row>
    <row r="107" spans="5:6" x14ac:dyDescent="0.25">
      <c r="E107" s="37"/>
      <c r="F107" s="38"/>
    </row>
    <row r="108" spans="5:6" x14ac:dyDescent="0.25">
      <c r="E108" s="37"/>
      <c r="F108" s="38"/>
    </row>
    <row r="109" spans="5:6" x14ac:dyDescent="0.25">
      <c r="E109" s="37"/>
      <c r="F109" s="38"/>
    </row>
    <row r="110" spans="5:6" x14ac:dyDescent="0.25">
      <c r="E110" s="37"/>
      <c r="F110" s="38"/>
    </row>
    <row r="111" spans="5:6" x14ac:dyDescent="0.25">
      <c r="E111" s="37"/>
      <c r="F111" s="38"/>
    </row>
    <row r="112" spans="5:6" x14ac:dyDescent="0.25">
      <c r="E112" s="37"/>
      <c r="F112" s="38"/>
    </row>
    <row r="113" spans="5:6" x14ac:dyDescent="0.25">
      <c r="E113" s="37"/>
      <c r="F113" s="38"/>
    </row>
    <row r="114" spans="5:6" x14ac:dyDescent="0.25">
      <c r="E114" s="37"/>
      <c r="F114" s="38"/>
    </row>
    <row r="115" spans="5:6" x14ac:dyDescent="0.25">
      <c r="E115" s="37"/>
      <c r="F115" s="38"/>
    </row>
    <row r="116" spans="5:6" x14ac:dyDescent="0.25">
      <c r="E116" s="37"/>
      <c r="F116" s="38"/>
    </row>
    <row r="117" spans="5:6" x14ac:dyDescent="0.25">
      <c r="E117" s="37"/>
      <c r="F117" s="38"/>
    </row>
    <row r="118" spans="5:6" x14ac:dyDescent="0.25">
      <c r="E118" s="37"/>
      <c r="F118" s="38"/>
    </row>
    <row r="119" spans="5:6" x14ac:dyDescent="0.25">
      <c r="E119" s="37"/>
      <c r="F119" s="38"/>
    </row>
    <row r="120" spans="5:6" x14ac:dyDescent="0.25">
      <c r="E120" s="37"/>
      <c r="F120" s="38"/>
    </row>
    <row r="121" spans="5:6" x14ac:dyDescent="0.25">
      <c r="E121" s="37"/>
      <c r="F121" s="38"/>
    </row>
    <row r="122" spans="5:6" x14ac:dyDescent="0.25">
      <c r="E122" s="37"/>
      <c r="F122" s="38"/>
    </row>
    <row r="123" spans="5:6" x14ac:dyDescent="0.25">
      <c r="E123" s="37"/>
      <c r="F123" s="38"/>
    </row>
    <row r="124" spans="5:6" x14ac:dyDescent="0.25">
      <c r="E124" s="37"/>
      <c r="F124" s="38"/>
    </row>
    <row r="125" spans="5:6" x14ac:dyDescent="0.25">
      <c r="E125" s="37"/>
      <c r="F125" s="38"/>
    </row>
    <row r="126" spans="5:6" x14ac:dyDescent="0.25">
      <c r="E126" s="37"/>
      <c r="F126" s="38"/>
    </row>
    <row r="127" spans="5:6" x14ac:dyDescent="0.25">
      <c r="E127" s="37"/>
      <c r="F127" s="38"/>
    </row>
    <row r="128" spans="5:6" x14ac:dyDescent="0.25">
      <c r="E128" s="37"/>
      <c r="F128" s="38"/>
    </row>
    <row r="129" spans="5:6" x14ac:dyDescent="0.25">
      <c r="E129" s="37"/>
      <c r="F129" s="38"/>
    </row>
    <row r="130" spans="5:6" x14ac:dyDescent="0.25">
      <c r="E130" s="37"/>
      <c r="F130" s="38"/>
    </row>
    <row r="131" spans="5:6" x14ac:dyDescent="0.25">
      <c r="E131" s="37"/>
      <c r="F131" s="38"/>
    </row>
    <row r="132" spans="5:6" x14ac:dyDescent="0.25">
      <c r="E132" s="37"/>
      <c r="F132" s="38"/>
    </row>
    <row r="133" spans="5:6" x14ac:dyDescent="0.25">
      <c r="E133" s="37"/>
      <c r="F133" s="38"/>
    </row>
    <row r="134" spans="5:6" x14ac:dyDescent="0.25">
      <c r="E134" s="37"/>
      <c r="F134" s="38"/>
    </row>
    <row r="135" spans="5:6" x14ac:dyDescent="0.25">
      <c r="E135" s="37"/>
      <c r="F135" s="38"/>
    </row>
    <row r="136" spans="5:6" x14ac:dyDescent="0.25">
      <c r="E136" s="37"/>
      <c r="F136" s="38"/>
    </row>
    <row r="137" spans="5:6" x14ac:dyDescent="0.25">
      <c r="E137" s="37"/>
      <c r="F137" s="38"/>
    </row>
    <row r="138" spans="5:6" x14ac:dyDescent="0.25">
      <c r="E138" s="37"/>
      <c r="F138" s="38"/>
    </row>
    <row r="139" spans="5:6" x14ac:dyDescent="0.25">
      <c r="E139" s="37"/>
      <c r="F139" s="38"/>
    </row>
    <row r="140" spans="5:6" x14ac:dyDescent="0.25">
      <c r="E140" s="37"/>
      <c r="F140" s="38"/>
    </row>
    <row r="141" spans="5:6" x14ac:dyDescent="0.25">
      <c r="E141" s="37"/>
      <c r="F141" s="38"/>
    </row>
    <row r="142" spans="5:6" x14ac:dyDescent="0.25">
      <c r="E142" s="37"/>
      <c r="F142" s="38"/>
    </row>
    <row r="143" spans="5:6" x14ac:dyDescent="0.25">
      <c r="E143" s="37"/>
      <c r="F143" s="38"/>
    </row>
    <row r="144" spans="5:6" x14ac:dyDescent="0.25">
      <c r="E144" s="37"/>
      <c r="F144" s="38"/>
    </row>
    <row r="145" spans="5:6" x14ac:dyDescent="0.25">
      <c r="E145" s="37"/>
      <c r="F145" s="38"/>
    </row>
    <row r="146" spans="5:6" x14ac:dyDescent="0.25">
      <c r="E146" s="37"/>
      <c r="F146" s="38"/>
    </row>
    <row r="147" spans="5:6" x14ac:dyDescent="0.25">
      <c r="E147" s="37"/>
      <c r="F147" s="38"/>
    </row>
    <row r="148" spans="5:6" x14ac:dyDescent="0.25">
      <c r="E148" s="37"/>
      <c r="F148" s="38"/>
    </row>
    <row r="149" spans="5:6" x14ac:dyDescent="0.25">
      <c r="E149" s="37"/>
      <c r="F149" s="38"/>
    </row>
    <row r="150" spans="5:6" x14ac:dyDescent="0.25">
      <c r="E150" s="37"/>
      <c r="F150" s="38"/>
    </row>
    <row r="151" spans="5:6" x14ac:dyDescent="0.25">
      <c r="E151" s="37"/>
      <c r="F151" s="38"/>
    </row>
    <row r="152" spans="5:6" x14ac:dyDescent="0.25">
      <c r="E152" s="37"/>
      <c r="F152" s="38"/>
    </row>
    <row r="153" spans="5:6" x14ac:dyDescent="0.25">
      <c r="E153" s="37"/>
      <c r="F153" s="38"/>
    </row>
    <row r="154" spans="5:6" x14ac:dyDescent="0.25">
      <c r="E154" s="37"/>
      <c r="F154" s="38"/>
    </row>
    <row r="155" spans="5:6" x14ac:dyDescent="0.25">
      <c r="E155" s="37"/>
      <c r="F155" s="38"/>
    </row>
    <row r="156" spans="5:6" x14ac:dyDescent="0.25">
      <c r="E156" s="37"/>
      <c r="F156" s="38"/>
    </row>
    <row r="157" spans="5:6" x14ac:dyDescent="0.25">
      <c r="E157" s="37"/>
      <c r="F157" s="38"/>
    </row>
    <row r="158" spans="5:6" x14ac:dyDescent="0.25">
      <c r="E158" s="37"/>
      <c r="F158" s="38"/>
    </row>
    <row r="159" spans="5:6" x14ac:dyDescent="0.25">
      <c r="E159" s="37"/>
      <c r="F159" s="38"/>
    </row>
    <row r="160" spans="5:6" x14ac:dyDescent="0.25">
      <c r="E160" s="37"/>
      <c r="F160" s="38"/>
    </row>
    <row r="161" spans="5:6" x14ac:dyDescent="0.25">
      <c r="E161" s="37"/>
      <c r="F161" s="38"/>
    </row>
    <row r="162" spans="5:6" x14ac:dyDescent="0.25">
      <c r="E162" s="37"/>
      <c r="F162" s="38"/>
    </row>
    <row r="163" spans="5:6" x14ac:dyDescent="0.25">
      <c r="E163" s="37"/>
      <c r="F163" s="38"/>
    </row>
    <row r="164" spans="5:6" x14ac:dyDescent="0.25">
      <c r="E164" s="37"/>
      <c r="F164" s="38"/>
    </row>
    <row r="165" spans="5:6" x14ac:dyDescent="0.25">
      <c r="E165" s="37"/>
      <c r="F165" s="38"/>
    </row>
    <row r="166" spans="5:6" x14ac:dyDescent="0.25">
      <c r="E166" s="37"/>
      <c r="F166" s="38"/>
    </row>
    <row r="167" spans="5:6" x14ac:dyDescent="0.25">
      <c r="E167" s="37"/>
      <c r="F167" s="38"/>
    </row>
    <row r="168" spans="5:6" x14ac:dyDescent="0.25">
      <c r="E168" s="37"/>
      <c r="F168" s="38"/>
    </row>
    <row r="169" spans="5:6" x14ac:dyDescent="0.25">
      <c r="E169" s="37"/>
      <c r="F169" s="38"/>
    </row>
    <row r="170" spans="5:6" x14ac:dyDescent="0.25">
      <c r="E170" s="37"/>
      <c r="F170" s="38"/>
    </row>
    <row r="171" spans="5:6" x14ac:dyDescent="0.25">
      <c r="E171" s="37"/>
      <c r="F171" s="38"/>
    </row>
    <row r="172" spans="5:6" x14ac:dyDescent="0.25">
      <c r="E172" s="37"/>
      <c r="F172" s="38"/>
    </row>
    <row r="173" spans="5:6" x14ac:dyDescent="0.25">
      <c r="E173" s="37"/>
      <c r="F173" s="38"/>
    </row>
    <row r="174" spans="5:6" x14ac:dyDescent="0.25">
      <c r="E174" s="37"/>
      <c r="F174" s="38"/>
    </row>
    <row r="175" spans="5:6" x14ac:dyDescent="0.25">
      <c r="E175" s="37"/>
      <c r="F175" s="38"/>
    </row>
    <row r="176" spans="5:6" x14ac:dyDescent="0.25">
      <c r="E176" s="37"/>
      <c r="F176" s="38"/>
    </row>
    <row r="177" spans="5:6" x14ac:dyDescent="0.25">
      <c r="E177" s="37"/>
      <c r="F177" s="38"/>
    </row>
    <row r="178" spans="5:6" x14ac:dyDescent="0.25">
      <c r="E178" s="37"/>
      <c r="F178" s="38"/>
    </row>
    <row r="179" spans="5:6" x14ac:dyDescent="0.25">
      <c r="E179" s="37"/>
      <c r="F179" s="38"/>
    </row>
    <row r="180" spans="5:6" x14ac:dyDescent="0.25">
      <c r="E180" s="37"/>
      <c r="F180" s="38"/>
    </row>
    <row r="181" spans="5:6" x14ac:dyDescent="0.25">
      <c r="E181" s="37"/>
      <c r="F181" s="38"/>
    </row>
    <row r="182" spans="5:6" x14ac:dyDescent="0.25">
      <c r="E182" s="37"/>
      <c r="F182" s="38"/>
    </row>
    <row r="183" spans="5:6" x14ac:dyDescent="0.25">
      <c r="E183" s="37"/>
      <c r="F183" s="38"/>
    </row>
    <row r="184" spans="5:6" x14ac:dyDescent="0.25">
      <c r="E184" s="37"/>
      <c r="F184" s="38"/>
    </row>
    <row r="185" spans="5:6" x14ac:dyDescent="0.25">
      <c r="E185" s="37"/>
      <c r="F185" s="38"/>
    </row>
    <row r="186" spans="5:6" x14ac:dyDescent="0.25">
      <c r="E186" s="37"/>
      <c r="F186" s="38"/>
    </row>
    <row r="187" spans="5:6" x14ac:dyDescent="0.25">
      <c r="E187" s="37"/>
      <c r="F187" s="38"/>
    </row>
    <row r="188" spans="5:6" x14ac:dyDescent="0.25">
      <c r="E188" s="37"/>
      <c r="F188" s="38"/>
    </row>
    <row r="189" spans="5:6" x14ac:dyDescent="0.25">
      <c r="E189" s="37"/>
      <c r="F189" s="38"/>
    </row>
    <row r="190" spans="5:6" x14ac:dyDescent="0.25">
      <c r="E190" s="37"/>
      <c r="F190" s="38"/>
    </row>
    <row r="191" spans="5:6" x14ac:dyDescent="0.25">
      <c r="E191" s="37"/>
      <c r="F191" s="38"/>
    </row>
    <row r="192" spans="5:6" x14ac:dyDescent="0.25">
      <c r="E192" s="37"/>
      <c r="F192" s="38"/>
    </row>
    <row r="193" spans="5:6" x14ac:dyDescent="0.25">
      <c r="E193" s="37"/>
      <c r="F193" s="38"/>
    </row>
    <row r="194" spans="5:6" x14ac:dyDescent="0.25">
      <c r="E194" s="37"/>
      <c r="F194" s="38"/>
    </row>
    <row r="195" spans="5:6" x14ac:dyDescent="0.25">
      <c r="E195" s="37"/>
      <c r="F195" s="38"/>
    </row>
    <row r="196" spans="5:6" x14ac:dyDescent="0.25">
      <c r="E196" s="37"/>
      <c r="F196" s="38"/>
    </row>
    <row r="197" spans="5:6" x14ac:dyDescent="0.25">
      <c r="E197" s="37"/>
      <c r="F197" s="38"/>
    </row>
    <row r="198" spans="5:6" x14ac:dyDescent="0.25">
      <c r="E198" s="37"/>
      <c r="F198" s="38"/>
    </row>
    <row r="199" spans="5:6" x14ac:dyDescent="0.25">
      <c r="E199" s="37"/>
      <c r="F199" s="38"/>
    </row>
    <row r="200" spans="5:6" x14ac:dyDescent="0.25">
      <c r="E200" s="37"/>
      <c r="F200" s="38"/>
    </row>
    <row r="201" spans="5:6" x14ac:dyDescent="0.25">
      <c r="E201" s="37"/>
      <c r="F201" s="38"/>
    </row>
    <row r="202" spans="5:6" x14ac:dyDescent="0.25">
      <c r="E202" s="37"/>
      <c r="F202" s="38"/>
    </row>
    <row r="203" spans="5:6" x14ac:dyDescent="0.25">
      <c r="E203" s="37"/>
      <c r="F203" s="38"/>
    </row>
    <row r="204" spans="5:6" x14ac:dyDescent="0.25">
      <c r="E204" s="37"/>
      <c r="F204" s="38"/>
    </row>
    <row r="205" spans="5:6" x14ac:dyDescent="0.25">
      <c r="E205" s="37"/>
      <c r="F205" s="38"/>
    </row>
    <row r="206" spans="5:6" x14ac:dyDescent="0.25">
      <c r="E206" s="37"/>
      <c r="F206" s="38"/>
    </row>
    <row r="207" spans="5:6" x14ac:dyDescent="0.25">
      <c r="E207" s="37"/>
      <c r="F207" s="38"/>
    </row>
    <row r="208" spans="5:6" x14ac:dyDescent="0.25">
      <c r="E208" s="37"/>
      <c r="F208" s="38"/>
    </row>
    <row r="209" spans="5:6" x14ac:dyDescent="0.25">
      <c r="E209" s="37"/>
      <c r="F209" s="38"/>
    </row>
    <row r="210" spans="5:6" x14ac:dyDescent="0.25">
      <c r="E210" s="37"/>
      <c r="F210" s="38"/>
    </row>
    <row r="211" spans="5:6" x14ac:dyDescent="0.25">
      <c r="E211" s="37"/>
      <c r="F211" s="38"/>
    </row>
    <row r="212" spans="5:6" x14ac:dyDescent="0.25">
      <c r="E212" s="37"/>
      <c r="F212" s="38"/>
    </row>
    <row r="213" spans="5:6" x14ac:dyDescent="0.25">
      <c r="E213" s="37"/>
      <c r="F213" s="38"/>
    </row>
    <row r="214" spans="5:6" x14ac:dyDescent="0.25">
      <c r="E214" s="37"/>
      <c r="F214" s="38"/>
    </row>
    <row r="215" spans="5:6" x14ac:dyDescent="0.25">
      <c r="E215" s="37"/>
      <c r="F215" s="38"/>
    </row>
    <row r="216" spans="5:6" x14ac:dyDescent="0.25">
      <c r="E216" s="37"/>
      <c r="F216" s="38"/>
    </row>
    <row r="217" spans="5:6" x14ac:dyDescent="0.25">
      <c r="E217" s="37"/>
      <c r="F217" s="38"/>
    </row>
    <row r="218" spans="5:6" x14ac:dyDescent="0.25">
      <c r="E218" s="37"/>
      <c r="F218" s="38"/>
    </row>
    <row r="219" spans="5:6" x14ac:dyDescent="0.25">
      <c r="E219" s="37"/>
      <c r="F219" s="38"/>
    </row>
    <row r="220" spans="5:6" x14ac:dyDescent="0.25">
      <c r="E220" s="37"/>
      <c r="F220" s="38"/>
    </row>
    <row r="221" spans="5:6" x14ac:dyDescent="0.25">
      <c r="E221" s="37"/>
      <c r="F221" s="38"/>
    </row>
    <row r="222" spans="5:6" x14ac:dyDescent="0.25">
      <c r="E222" s="37"/>
      <c r="F222" s="38"/>
    </row>
    <row r="223" spans="5:6" x14ac:dyDescent="0.25">
      <c r="E223" s="37"/>
      <c r="F223" s="38"/>
    </row>
    <row r="224" spans="5:6" x14ac:dyDescent="0.25">
      <c r="E224" s="37"/>
      <c r="F224" s="38"/>
    </row>
    <row r="225" spans="5:6" x14ac:dyDescent="0.25">
      <c r="E225" s="37"/>
      <c r="F225" s="38"/>
    </row>
    <row r="226" spans="5:6" x14ac:dyDescent="0.25">
      <c r="E226" s="37"/>
      <c r="F226" s="38"/>
    </row>
    <row r="227" spans="5:6" x14ac:dyDescent="0.25">
      <c r="E227" s="37"/>
      <c r="F227" s="38"/>
    </row>
    <row r="228" spans="5:6" x14ac:dyDescent="0.25">
      <c r="E228" s="37"/>
      <c r="F228" s="38"/>
    </row>
    <row r="229" spans="5:6" x14ac:dyDescent="0.25">
      <c r="E229" s="37"/>
      <c r="F229" s="38"/>
    </row>
    <row r="230" spans="5:6" x14ac:dyDescent="0.25">
      <c r="E230" s="37"/>
      <c r="F230" s="38"/>
    </row>
    <row r="231" spans="5:6" x14ac:dyDescent="0.25">
      <c r="E231" s="37"/>
      <c r="F231" s="38"/>
    </row>
    <row r="232" spans="5:6" x14ac:dyDescent="0.25">
      <c r="E232" s="37"/>
      <c r="F232" s="38"/>
    </row>
    <row r="233" spans="5:6" x14ac:dyDescent="0.25">
      <c r="E233" s="37"/>
      <c r="F233" s="38"/>
    </row>
    <row r="234" spans="5:6" x14ac:dyDescent="0.25">
      <c r="E234" s="37"/>
      <c r="F234" s="38"/>
    </row>
    <row r="235" spans="5:6" x14ac:dyDescent="0.25">
      <c r="E235" s="37"/>
      <c r="F235" s="38"/>
    </row>
    <row r="236" spans="5:6" x14ac:dyDescent="0.25">
      <c r="E236" s="37"/>
      <c r="F236" s="38"/>
    </row>
    <row r="237" spans="5:6" x14ac:dyDescent="0.25">
      <c r="E237" s="37"/>
      <c r="F237" s="38"/>
    </row>
    <row r="238" spans="5:6" x14ac:dyDescent="0.25">
      <c r="E238" s="37"/>
      <c r="F238" s="38"/>
    </row>
    <row r="239" spans="5:6" x14ac:dyDescent="0.25">
      <c r="E239" s="37"/>
      <c r="F239" s="38"/>
    </row>
    <row r="240" spans="5:6" x14ac:dyDescent="0.25">
      <c r="E240" s="37"/>
      <c r="F240" s="38"/>
    </row>
    <row r="241" spans="5:6" x14ac:dyDescent="0.25">
      <c r="E241" s="37"/>
      <c r="F241" s="38"/>
    </row>
    <row r="242" spans="5:6" x14ac:dyDescent="0.25">
      <c r="E242" s="37"/>
      <c r="F242" s="38"/>
    </row>
    <row r="243" spans="5:6" x14ac:dyDescent="0.25">
      <c r="E243" s="37"/>
      <c r="F243" s="38"/>
    </row>
    <row r="244" spans="5:6" x14ac:dyDescent="0.25">
      <c r="E244" s="37"/>
      <c r="F244" s="38"/>
    </row>
    <row r="245" spans="5:6" x14ac:dyDescent="0.25">
      <c r="E245" s="37"/>
      <c r="F245" s="38"/>
    </row>
    <row r="246" spans="5:6" x14ac:dyDescent="0.25">
      <c r="E246" s="37"/>
      <c r="F246" s="38"/>
    </row>
    <row r="247" spans="5:6" x14ac:dyDescent="0.25">
      <c r="E247" s="37"/>
      <c r="F247" s="38"/>
    </row>
    <row r="248" spans="5:6" x14ac:dyDescent="0.25">
      <c r="E248" s="37"/>
      <c r="F248" s="38"/>
    </row>
    <row r="249" spans="5:6" x14ac:dyDescent="0.25">
      <c r="E249" s="37"/>
      <c r="F249" s="38"/>
    </row>
    <row r="250" spans="5:6" x14ac:dyDescent="0.25">
      <c r="E250" s="37"/>
      <c r="F250" s="38"/>
    </row>
    <row r="251" spans="5:6" x14ac:dyDescent="0.25">
      <c r="E251" s="37"/>
      <c r="F251" s="38"/>
    </row>
    <row r="252" spans="5:6" x14ac:dyDescent="0.25">
      <c r="E252" s="37"/>
      <c r="F252" s="38"/>
    </row>
    <row r="253" spans="5:6" x14ac:dyDescent="0.25">
      <c r="E253" s="37"/>
      <c r="F253" s="38"/>
    </row>
    <row r="254" spans="5:6" x14ac:dyDescent="0.25">
      <c r="E254" s="37"/>
      <c r="F254" s="38"/>
    </row>
    <row r="255" spans="5:6" x14ac:dyDescent="0.25">
      <c r="E255" s="37"/>
      <c r="F255" s="38"/>
    </row>
    <row r="256" spans="5:6" x14ac:dyDescent="0.25">
      <c r="E256" s="37"/>
      <c r="F256" s="38"/>
    </row>
    <row r="257" spans="5:6" x14ac:dyDescent="0.25">
      <c r="E257" s="37"/>
      <c r="F257" s="38"/>
    </row>
    <row r="258" spans="5:6" x14ac:dyDescent="0.25">
      <c r="E258" s="37"/>
      <c r="F258" s="38"/>
    </row>
    <row r="259" spans="5:6" x14ac:dyDescent="0.25">
      <c r="E259" s="37"/>
      <c r="F259" s="38"/>
    </row>
    <row r="260" spans="5:6" x14ac:dyDescent="0.25">
      <c r="E260" s="37"/>
      <c r="F260" s="38"/>
    </row>
    <row r="261" spans="5:6" x14ac:dyDescent="0.25">
      <c r="E261" s="37"/>
      <c r="F261" s="38"/>
    </row>
    <row r="262" spans="5:6" x14ac:dyDescent="0.25">
      <c r="E262" s="37"/>
      <c r="F262" s="38"/>
    </row>
    <row r="263" spans="5:6" x14ac:dyDescent="0.25">
      <c r="E263" s="37"/>
      <c r="F263" s="38"/>
    </row>
    <row r="264" spans="5:6" x14ac:dyDescent="0.25">
      <c r="E264" s="37"/>
      <c r="F264" s="38"/>
    </row>
    <row r="265" spans="5:6" x14ac:dyDescent="0.25">
      <c r="E265" s="37"/>
      <c r="F265" s="38"/>
    </row>
    <row r="266" spans="5:6" x14ac:dyDescent="0.25">
      <c r="E266" s="37"/>
      <c r="F266" s="38"/>
    </row>
    <row r="267" spans="5:6" x14ac:dyDescent="0.25">
      <c r="E267" s="37"/>
      <c r="F267" s="38"/>
    </row>
    <row r="268" spans="5:6" x14ac:dyDescent="0.25">
      <c r="E268" s="37"/>
      <c r="F268" s="38"/>
    </row>
    <row r="269" spans="5:6" x14ac:dyDescent="0.25">
      <c r="E269" s="37"/>
      <c r="F269" s="38"/>
    </row>
    <row r="270" spans="5:6" x14ac:dyDescent="0.25">
      <c r="E270" s="37"/>
      <c r="F270" s="38"/>
    </row>
    <row r="271" spans="5:6" x14ac:dyDescent="0.25">
      <c r="E271" s="37"/>
      <c r="F271" s="38"/>
    </row>
    <row r="272" spans="5:6" x14ac:dyDescent="0.25">
      <c r="E272" s="37"/>
      <c r="F272" s="38"/>
    </row>
    <row r="273" spans="5:6" x14ac:dyDescent="0.25">
      <c r="E273" s="37"/>
      <c r="F273" s="38"/>
    </row>
    <row r="274" spans="5:6" x14ac:dyDescent="0.25">
      <c r="E274" s="37"/>
      <c r="F274" s="38"/>
    </row>
    <row r="275" spans="5:6" x14ac:dyDescent="0.25">
      <c r="E275" s="37"/>
      <c r="F275" s="38"/>
    </row>
    <row r="276" spans="5:6" x14ac:dyDescent="0.25">
      <c r="E276" s="37"/>
      <c r="F276" s="38"/>
    </row>
    <row r="277" spans="5:6" x14ac:dyDescent="0.25">
      <c r="E277" s="37"/>
      <c r="F277" s="38"/>
    </row>
    <row r="278" spans="5:6" x14ac:dyDescent="0.25">
      <c r="E278" s="37"/>
      <c r="F278" s="38"/>
    </row>
    <row r="279" spans="5:6" x14ac:dyDescent="0.25">
      <c r="E279" s="37"/>
      <c r="F279" s="38"/>
    </row>
    <row r="280" spans="5:6" x14ac:dyDescent="0.25">
      <c r="E280" s="37"/>
      <c r="F280" s="38"/>
    </row>
    <row r="281" spans="5:6" x14ac:dyDescent="0.25">
      <c r="E281" s="37"/>
      <c r="F281" s="38"/>
    </row>
    <row r="282" spans="5:6" x14ac:dyDescent="0.25">
      <c r="E282" s="37"/>
      <c r="F282" s="38"/>
    </row>
    <row r="283" spans="5:6" x14ac:dyDescent="0.25">
      <c r="E283" s="37"/>
      <c r="F283" s="38"/>
    </row>
    <row r="284" spans="5:6" x14ac:dyDescent="0.25">
      <c r="E284" s="37"/>
      <c r="F284" s="38"/>
    </row>
    <row r="285" spans="5:6" x14ac:dyDescent="0.25">
      <c r="E285" s="37"/>
      <c r="F285" s="38"/>
    </row>
    <row r="286" spans="5:6" x14ac:dyDescent="0.25">
      <c r="E286" s="37"/>
      <c r="F286" s="38"/>
    </row>
    <row r="287" spans="5:6" x14ac:dyDescent="0.25">
      <c r="E287" s="37"/>
      <c r="F287" s="38"/>
    </row>
    <row r="288" spans="5:6" x14ac:dyDescent="0.25">
      <c r="E288" s="37"/>
      <c r="F288" s="38"/>
    </row>
    <row r="289" spans="5:6" x14ac:dyDescent="0.25">
      <c r="E289" s="37"/>
      <c r="F289" s="38"/>
    </row>
    <row r="290" spans="5:6" x14ac:dyDescent="0.25">
      <c r="E290" s="37"/>
      <c r="F290" s="38"/>
    </row>
    <row r="291" spans="5:6" x14ac:dyDescent="0.25">
      <c r="E291" s="37"/>
      <c r="F291" s="38"/>
    </row>
    <row r="292" spans="5:6" x14ac:dyDescent="0.25">
      <c r="E292" s="37"/>
      <c r="F292" s="38"/>
    </row>
    <row r="293" spans="5:6" x14ac:dyDescent="0.25">
      <c r="E293" s="37"/>
      <c r="F293" s="38"/>
    </row>
    <row r="294" spans="5:6" x14ac:dyDescent="0.25">
      <c r="E294" s="37"/>
      <c r="F294" s="38"/>
    </row>
    <row r="295" spans="5:6" x14ac:dyDescent="0.25">
      <c r="E295" s="37"/>
      <c r="F295" s="38"/>
    </row>
    <row r="296" spans="5:6" x14ac:dyDescent="0.25">
      <c r="E296" s="37"/>
      <c r="F296" s="38"/>
    </row>
    <row r="297" spans="5:6" x14ac:dyDescent="0.25">
      <c r="E297" s="37"/>
      <c r="F297" s="38"/>
    </row>
    <row r="298" spans="5:6" x14ac:dyDescent="0.25">
      <c r="E298" s="37"/>
      <c r="F298" s="38"/>
    </row>
    <row r="299" spans="5:6" x14ac:dyDescent="0.25">
      <c r="E299" s="37"/>
      <c r="F299" s="38"/>
    </row>
    <row r="300" spans="5:6" x14ac:dyDescent="0.25">
      <c r="E300" s="37"/>
      <c r="F300" s="38"/>
    </row>
    <row r="301" spans="5:6" x14ac:dyDescent="0.25">
      <c r="E301" s="37"/>
      <c r="F301" s="38"/>
    </row>
    <row r="302" spans="5:6" x14ac:dyDescent="0.25">
      <c r="E302" s="37"/>
      <c r="F302" s="38"/>
    </row>
    <row r="303" spans="5:6" x14ac:dyDescent="0.25">
      <c r="E303" s="37"/>
      <c r="F303" s="38"/>
    </row>
    <row r="304" spans="5:6" x14ac:dyDescent="0.25">
      <c r="E304" s="37"/>
      <c r="F304" s="38"/>
    </row>
    <row r="305" spans="5:6" x14ac:dyDescent="0.25">
      <c r="E305" s="37"/>
      <c r="F305" s="38"/>
    </row>
    <row r="306" spans="5:6" x14ac:dyDescent="0.25">
      <c r="E306" s="37"/>
      <c r="F306" s="38"/>
    </row>
    <row r="307" spans="5:6" x14ac:dyDescent="0.25">
      <c r="E307" s="37"/>
      <c r="F307" s="38"/>
    </row>
    <row r="308" spans="5:6" x14ac:dyDescent="0.25">
      <c r="E308" s="37"/>
      <c r="F308" s="38"/>
    </row>
    <row r="309" spans="5:6" x14ac:dyDescent="0.25">
      <c r="E309" s="37"/>
      <c r="F309" s="38"/>
    </row>
    <row r="310" spans="5:6" x14ac:dyDescent="0.25">
      <c r="E310" s="37"/>
      <c r="F310" s="38"/>
    </row>
    <row r="311" spans="5:6" x14ac:dyDescent="0.25">
      <c r="E311" s="37"/>
      <c r="F311" s="38"/>
    </row>
    <row r="312" spans="5:6" x14ac:dyDescent="0.25">
      <c r="E312" s="37"/>
      <c r="F312" s="38"/>
    </row>
    <row r="313" spans="5:6" x14ac:dyDescent="0.25">
      <c r="E313" s="37"/>
      <c r="F313" s="38"/>
    </row>
    <row r="314" spans="5:6" x14ac:dyDescent="0.25">
      <c r="E314" s="37"/>
      <c r="F314" s="38"/>
    </row>
    <row r="315" spans="5:6" x14ac:dyDescent="0.25">
      <c r="E315" s="37"/>
      <c r="F315" s="38"/>
    </row>
    <row r="316" spans="5:6" x14ac:dyDescent="0.25">
      <c r="E316" s="37"/>
      <c r="F316" s="38"/>
    </row>
    <row r="317" spans="5:6" x14ac:dyDescent="0.25">
      <c r="E317" s="37"/>
      <c r="F317" s="38"/>
    </row>
    <row r="318" spans="5:6" x14ac:dyDescent="0.25">
      <c r="E318" s="37"/>
      <c r="F318" s="38"/>
    </row>
    <row r="319" spans="5:6" x14ac:dyDescent="0.25">
      <c r="E319" s="37"/>
      <c r="F319" s="38"/>
    </row>
    <row r="320" spans="5:6" x14ac:dyDescent="0.25">
      <c r="E320" s="37"/>
      <c r="F320" s="38"/>
    </row>
    <row r="321" spans="5:6" x14ac:dyDescent="0.25">
      <c r="E321" s="37"/>
      <c r="F321" s="38"/>
    </row>
    <row r="322" spans="5:6" x14ac:dyDescent="0.25">
      <c r="E322" s="37"/>
      <c r="F322" s="38"/>
    </row>
    <row r="323" spans="5:6" x14ac:dyDescent="0.25">
      <c r="E323" s="37"/>
      <c r="F323" s="38"/>
    </row>
    <row r="324" spans="5:6" x14ac:dyDescent="0.25">
      <c r="E324" s="37"/>
      <c r="F324" s="38"/>
    </row>
    <row r="325" spans="5:6" x14ac:dyDescent="0.25">
      <c r="E325" s="37"/>
      <c r="F325" s="38"/>
    </row>
    <row r="326" spans="5:6" x14ac:dyDescent="0.25">
      <c r="E326" s="37"/>
      <c r="F326" s="38"/>
    </row>
    <row r="327" spans="5:6" x14ac:dyDescent="0.25">
      <c r="E327" s="37"/>
      <c r="F327" s="38"/>
    </row>
    <row r="328" spans="5:6" x14ac:dyDescent="0.25">
      <c r="E328" s="37"/>
      <c r="F328" s="38"/>
    </row>
    <row r="329" spans="5:6" x14ac:dyDescent="0.25">
      <c r="E329" s="37"/>
      <c r="F329" s="38"/>
    </row>
    <row r="330" spans="5:6" x14ac:dyDescent="0.25">
      <c r="E330" s="37"/>
      <c r="F330" s="38"/>
    </row>
    <row r="331" spans="5:6" x14ac:dyDescent="0.25">
      <c r="E331" s="37"/>
      <c r="F331" s="38"/>
    </row>
    <row r="332" spans="5:6" x14ac:dyDescent="0.25">
      <c r="E332" s="37"/>
      <c r="F332" s="38"/>
    </row>
    <row r="333" spans="5:6" x14ac:dyDescent="0.25">
      <c r="E333" s="37"/>
      <c r="F333" s="38"/>
    </row>
    <row r="334" spans="5:6" x14ac:dyDescent="0.25">
      <c r="E334" s="37"/>
      <c r="F334" s="38"/>
    </row>
    <row r="335" spans="5:6" x14ac:dyDescent="0.25">
      <c r="E335" s="37"/>
      <c r="F335" s="38"/>
    </row>
    <row r="336" spans="5:6" x14ac:dyDescent="0.25">
      <c r="E336" s="37"/>
      <c r="F336" s="38"/>
    </row>
    <row r="337" spans="5:6" x14ac:dyDescent="0.25">
      <c r="E337" s="37"/>
      <c r="F337" s="38"/>
    </row>
    <row r="338" spans="5:6" x14ac:dyDescent="0.25">
      <c r="E338" s="37"/>
      <c r="F338" s="38"/>
    </row>
    <row r="339" spans="5:6" x14ac:dyDescent="0.25">
      <c r="E339" s="37"/>
      <c r="F339" s="38"/>
    </row>
    <row r="340" spans="5:6" x14ac:dyDescent="0.25">
      <c r="E340" s="37"/>
      <c r="F340" s="38"/>
    </row>
    <row r="341" spans="5:6" x14ac:dyDescent="0.25">
      <c r="E341" s="37"/>
      <c r="F341" s="38"/>
    </row>
    <row r="342" spans="5:6" x14ac:dyDescent="0.25">
      <c r="E342" s="37"/>
      <c r="F342" s="38"/>
    </row>
    <row r="343" spans="5:6" x14ac:dyDescent="0.25">
      <c r="E343" s="37"/>
      <c r="F343" s="38"/>
    </row>
    <row r="344" spans="5:6" x14ac:dyDescent="0.25">
      <c r="E344" s="37"/>
      <c r="F344" s="38"/>
    </row>
    <row r="345" spans="5:6" x14ac:dyDescent="0.25">
      <c r="E345" s="37"/>
      <c r="F345" s="38"/>
    </row>
    <row r="346" spans="5:6" x14ac:dyDescent="0.25">
      <c r="E346" s="37"/>
      <c r="F346" s="38"/>
    </row>
    <row r="347" spans="5:6" x14ac:dyDescent="0.25">
      <c r="E347" s="37"/>
      <c r="F347" s="38"/>
    </row>
    <row r="348" spans="5:6" x14ac:dyDescent="0.25">
      <c r="E348" s="37"/>
      <c r="F348" s="38"/>
    </row>
    <row r="349" spans="5:6" x14ac:dyDescent="0.25">
      <c r="E349" s="37"/>
      <c r="F349" s="38"/>
    </row>
    <row r="350" spans="5:6" x14ac:dyDescent="0.25">
      <c r="E350" s="37"/>
      <c r="F350" s="38"/>
    </row>
    <row r="351" spans="5:6" x14ac:dyDescent="0.25">
      <c r="E351" s="37"/>
      <c r="F351" s="38"/>
    </row>
    <row r="352" spans="5:6" x14ac:dyDescent="0.25">
      <c r="E352" s="37"/>
      <c r="F352" s="38"/>
    </row>
    <row r="353" spans="5:6" x14ac:dyDescent="0.25">
      <c r="E353" s="37"/>
      <c r="F353" s="38"/>
    </row>
    <row r="354" spans="5:6" x14ac:dyDescent="0.25">
      <c r="E354" s="37"/>
      <c r="F354" s="38"/>
    </row>
    <row r="355" spans="5:6" x14ac:dyDescent="0.25">
      <c r="E355" s="37"/>
      <c r="F355" s="38"/>
    </row>
    <row r="356" spans="5:6" x14ac:dyDescent="0.25">
      <c r="E356" s="37"/>
      <c r="F356" s="38"/>
    </row>
    <row r="357" spans="5:6" x14ac:dyDescent="0.25">
      <c r="E357" s="37"/>
      <c r="F357" s="38"/>
    </row>
    <row r="358" spans="5:6" x14ac:dyDescent="0.25">
      <c r="E358" s="37"/>
      <c r="F358" s="38"/>
    </row>
    <row r="359" spans="5:6" x14ac:dyDescent="0.25">
      <c r="E359" s="37"/>
      <c r="F359" s="38"/>
    </row>
    <row r="360" spans="5:6" x14ac:dyDescent="0.25">
      <c r="E360" s="37"/>
      <c r="F360" s="38"/>
    </row>
    <row r="361" spans="5:6" x14ac:dyDescent="0.25">
      <c r="E361" s="37"/>
      <c r="F361" s="38"/>
    </row>
    <row r="362" spans="5:6" x14ac:dyDescent="0.25">
      <c r="E362" s="37"/>
      <c r="F362" s="38"/>
    </row>
    <row r="363" spans="5:6" x14ac:dyDescent="0.25">
      <c r="E363" s="37"/>
      <c r="F363" s="38"/>
    </row>
    <row r="364" spans="5:6" x14ac:dyDescent="0.25">
      <c r="E364" s="37"/>
      <c r="F364" s="38"/>
    </row>
    <row r="365" spans="5:6" x14ac:dyDescent="0.25">
      <c r="E365" s="37"/>
      <c r="F365" s="38"/>
    </row>
    <row r="366" spans="5:6" x14ac:dyDescent="0.25">
      <c r="E366" s="37"/>
      <c r="F366" s="38"/>
    </row>
    <row r="367" spans="5:6" x14ac:dyDescent="0.25">
      <c r="E367" s="37"/>
      <c r="F367" s="38"/>
    </row>
    <row r="368" spans="5:6" x14ac:dyDescent="0.25">
      <c r="E368" s="37"/>
      <c r="F368" s="38"/>
    </row>
    <row r="369" spans="5:6" x14ac:dyDescent="0.25">
      <c r="E369" s="37"/>
      <c r="F369" s="38"/>
    </row>
    <row r="370" spans="5:6" x14ac:dyDescent="0.25">
      <c r="E370" s="37"/>
      <c r="F370" s="38"/>
    </row>
    <row r="371" spans="5:6" x14ac:dyDescent="0.25">
      <c r="E371" s="37"/>
      <c r="F371" s="38"/>
    </row>
    <row r="372" spans="5:6" x14ac:dyDescent="0.25">
      <c r="E372" s="37"/>
      <c r="F372" s="38"/>
    </row>
    <row r="373" spans="5:6" x14ac:dyDescent="0.25">
      <c r="E373" s="37"/>
      <c r="F373" s="38"/>
    </row>
    <row r="374" spans="5:6" x14ac:dyDescent="0.25">
      <c r="E374" s="37"/>
      <c r="F374" s="38"/>
    </row>
    <row r="375" spans="5:6" x14ac:dyDescent="0.25">
      <c r="E375" s="37"/>
      <c r="F375" s="38"/>
    </row>
    <row r="376" spans="5:6" x14ac:dyDescent="0.25">
      <c r="E376" s="37"/>
      <c r="F376" s="38"/>
    </row>
    <row r="377" spans="5:6" x14ac:dyDescent="0.25">
      <c r="E377" s="37"/>
      <c r="F377" s="38"/>
    </row>
    <row r="378" spans="5:6" x14ac:dyDescent="0.25">
      <c r="E378" s="37"/>
      <c r="F378" s="38"/>
    </row>
    <row r="379" spans="5:6" x14ac:dyDescent="0.25">
      <c r="E379" s="37"/>
      <c r="F379" s="38"/>
    </row>
    <row r="380" spans="5:6" x14ac:dyDescent="0.25">
      <c r="E380" s="37"/>
      <c r="F380" s="38"/>
    </row>
    <row r="381" spans="5:6" x14ac:dyDescent="0.25">
      <c r="E381" s="37"/>
      <c r="F381" s="38"/>
    </row>
    <row r="382" spans="5:6" x14ac:dyDescent="0.25">
      <c r="E382" s="37"/>
      <c r="F382" s="38"/>
    </row>
    <row r="383" spans="5:6" x14ac:dyDescent="0.25">
      <c r="E383" s="37"/>
      <c r="F383" s="38"/>
    </row>
    <row r="384" spans="5:6" x14ac:dyDescent="0.25">
      <c r="E384" s="37"/>
      <c r="F384" s="38"/>
    </row>
    <row r="385" spans="5:6" x14ac:dyDescent="0.25">
      <c r="E385" s="37"/>
      <c r="F385" s="38"/>
    </row>
    <row r="386" spans="5:6" x14ac:dyDescent="0.25">
      <c r="E386" s="37"/>
      <c r="F386" s="38"/>
    </row>
    <row r="387" spans="5:6" x14ac:dyDescent="0.25">
      <c r="E387" s="37"/>
      <c r="F387" s="38"/>
    </row>
    <row r="388" spans="5:6" x14ac:dyDescent="0.25">
      <c r="E388" s="37"/>
      <c r="F388" s="38"/>
    </row>
    <row r="389" spans="5:6" x14ac:dyDescent="0.25">
      <c r="E389" s="37"/>
      <c r="F389" s="38"/>
    </row>
    <row r="390" spans="5:6" x14ac:dyDescent="0.25">
      <c r="E390" s="37"/>
      <c r="F390" s="38"/>
    </row>
    <row r="391" spans="5:6" x14ac:dyDescent="0.25">
      <c r="E391" s="37"/>
      <c r="F391" s="38"/>
    </row>
    <row r="392" spans="5:6" x14ac:dyDescent="0.25">
      <c r="E392" s="37"/>
      <c r="F392" s="38"/>
    </row>
    <row r="393" spans="5:6" x14ac:dyDescent="0.25">
      <c r="E393" s="37"/>
      <c r="F393" s="38"/>
    </row>
    <row r="394" spans="5:6" x14ac:dyDescent="0.25">
      <c r="E394" s="37"/>
      <c r="F394" s="38"/>
    </row>
    <row r="395" spans="5:6" x14ac:dyDescent="0.25">
      <c r="E395" s="37"/>
      <c r="F395" s="38"/>
    </row>
    <row r="396" spans="5:6" x14ac:dyDescent="0.25">
      <c r="E396" s="37"/>
      <c r="F396" s="38"/>
    </row>
    <row r="397" spans="5:6" x14ac:dyDescent="0.25">
      <c r="E397" s="37"/>
      <c r="F397" s="38"/>
    </row>
    <row r="398" spans="5:6" x14ac:dyDescent="0.25">
      <c r="E398" s="37"/>
      <c r="F398" s="38"/>
    </row>
    <row r="399" spans="5:6" x14ac:dyDescent="0.25">
      <c r="E399" s="37"/>
      <c r="F399" s="38"/>
    </row>
    <row r="400" spans="5:6" x14ac:dyDescent="0.25">
      <c r="E400" s="37"/>
      <c r="F400" s="38"/>
    </row>
    <row r="401" spans="5:6" x14ac:dyDescent="0.25">
      <c r="E401" s="37"/>
      <c r="F401" s="38"/>
    </row>
    <row r="402" spans="5:6" x14ac:dyDescent="0.25">
      <c r="E402" s="37"/>
      <c r="F402" s="38"/>
    </row>
    <row r="403" spans="5:6" x14ac:dyDescent="0.25">
      <c r="E403" s="37"/>
      <c r="F403" s="38"/>
    </row>
    <row r="404" spans="5:6" x14ac:dyDescent="0.25">
      <c r="E404" s="37"/>
      <c r="F404" s="38"/>
    </row>
    <row r="405" spans="5:6" x14ac:dyDescent="0.25">
      <c r="E405" s="37"/>
      <c r="F405" s="38"/>
    </row>
    <row r="406" spans="5:6" x14ac:dyDescent="0.25">
      <c r="E406" s="37"/>
      <c r="F406" s="38"/>
    </row>
    <row r="407" spans="5:6" x14ac:dyDescent="0.25">
      <c r="E407" s="37"/>
      <c r="F407" s="38"/>
    </row>
    <row r="408" spans="5:6" x14ac:dyDescent="0.25">
      <c r="E408" s="37"/>
      <c r="F408" s="38"/>
    </row>
    <row r="409" spans="5:6" x14ac:dyDescent="0.25">
      <c r="E409" s="37"/>
      <c r="F409" s="38"/>
    </row>
    <row r="410" spans="5:6" x14ac:dyDescent="0.25">
      <c r="E410" s="37"/>
      <c r="F410" s="38"/>
    </row>
    <row r="411" spans="5:6" x14ac:dyDescent="0.25">
      <c r="E411" s="37"/>
      <c r="F411" s="38"/>
    </row>
    <row r="412" spans="5:6" x14ac:dyDescent="0.25">
      <c r="E412" s="37"/>
      <c r="F412" s="38"/>
    </row>
    <row r="413" spans="5:6" x14ac:dyDescent="0.25">
      <c r="E413" s="37"/>
      <c r="F413" s="38"/>
    </row>
    <row r="414" spans="5:6" x14ac:dyDescent="0.25">
      <c r="E414" s="37"/>
      <c r="F414" s="38"/>
    </row>
    <row r="415" spans="5:6" x14ac:dyDescent="0.25">
      <c r="E415" s="37"/>
      <c r="F415" s="38"/>
    </row>
    <row r="416" spans="5:6" x14ac:dyDescent="0.25">
      <c r="E416" s="37"/>
      <c r="F416" s="38"/>
    </row>
    <row r="417" spans="5:6" x14ac:dyDescent="0.25">
      <c r="E417" s="37"/>
      <c r="F417" s="38"/>
    </row>
    <row r="418" spans="5:6" x14ac:dyDescent="0.25">
      <c r="E418" s="37"/>
      <c r="F418" s="38"/>
    </row>
    <row r="419" spans="5:6" x14ac:dyDescent="0.25">
      <c r="E419" s="37"/>
      <c r="F419" s="38"/>
    </row>
    <row r="420" spans="5:6" x14ac:dyDescent="0.25">
      <c r="E420" s="37"/>
      <c r="F420" s="38"/>
    </row>
    <row r="421" spans="5:6" x14ac:dyDescent="0.25">
      <c r="E421" s="37"/>
      <c r="F421" s="38"/>
    </row>
    <row r="422" spans="5:6" x14ac:dyDescent="0.25">
      <c r="E422" s="37"/>
      <c r="F422" s="38"/>
    </row>
    <row r="423" spans="5:6" x14ac:dyDescent="0.25">
      <c r="E423" s="37"/>
      <c r="F423" s="38"/>
    </row>
    <row r="424" spans="5:6" x14ac:dyDescent="0.25">
      <c r="E424" s="37"/>
      <c r="F424" s="38"/>
    </row>
    <row r="425" spans="5:6" x14ac:dyDescent="0.25">
      <c r="E425" s="37"/>
      <c r="F425" s="38"/>
    </row>
    <row r="426" spans="5:6" x14ac:dyDescent="0.25">
      <c r="E426" s="37"/>
      <c r="F426" s="38"/>
    </row>
    <row r="427" spans="5:6" x14ac:dyDescent="0.25">
      <c r="E427" s="37"/>
      <c r="F427" s="38"/>
    </row>
    <row r="428" spans="5:6" x14ac:dyDescent="0.25">
      <c r="E428" s="37"/>
      <c r="F428" s="38"/>
    </row>
    <row r="429" spans="5:6" x14ac:dyDescent="0.25">
      <c r="E429" s="37"/>
      <c r="F429" s="38"/>
    </row>
    <row r="430" spans="5:6" x14ac:dyDescent="0.25">
      <c r="E430" s="37"/>
      <c r="F430" s="38"/>
    </row>
    <row r="431" spans="5:6" x14ac:dyDescent="0.25">
      <c r="E431" s="37"/>
      <c r="F431" s="38"/>
    </row>
    <row r="432" spans="5:6" x14ac:dyDescent="0.25">
      <c r="E432" s="37"/>
      <c r="F432" s="38"/>
    </row>
    <row r="433" spans="5:6" x14ac:dyDescent="0.25">
      <c r="E433" s="37"/>
      <c r="F433" s="38"/>
    </row>
    <row r="434" spans="5:6" x14ac:dyDescent="0.25">
      <c r="E434" s="37"/>
      <c r="F434" s="38"/>
    </row>
    <row r="435" spans="5:6" x14ac:dyDescent="0.25">
      <c r="E435" s="37"/>
      <c r="F435" s="38"/>
    </row>
    <row r="436" spans="5:6" x14ac:dyDescent="0.25">
      <c r="E436" s="37"/>
      <c r="F436" s="38"/>
    </row>
    <row r="437" spans="5:6" x14ac:dyDescent="0.25">
      <c r="E437" s="37"/>
      <c r="F437" s="38"/>
    </row>
    <row r="438" spans="5:6" x14ac:dyDescent="0.25">
      <c r="E438" s="37"/>
      <c r="F438" s="38"/>
    </row>
    <row r="439" spans="5:6" x14ac:dyDescent="0.25">
      <c r="E439" s="37"/>
      <c r="F439" s="38"/>
    </row>
    <row r="440" spans="5:6" x14ac:dyDescent="0.25">
      <c r="E440" s="37"/>
      <c r="F440" s="38"/>
    </row>
    <row r="441" spans="5:6" x14ac:dyDescent="0.25">
      <c r="E441" s="37"/>
      <c r="F441" s="38"/>
    </row>
    <row r="442" spans="5:6" x14ac:dyDescent="0.25">
      <c r="E442" s="37"/>
      <c r="F442" s="38"/>
    </row>
    <row r="443" spans="5:6" x14ac:dyDescent="0.25">
      <c r="E443" s="37"/>
      <c r="F443" s="38"/>
    </row>
    <row r="444" spans="5:6" x14ac:dyDescent="0.25">
      <c r="E444" s="37"/>
      <c r="F444" s="38"/>
    </row>
    <row r="445" spans="5:6" x14ac:dyDescent="0.25">
      <c r="E445" s="37"/>
      <c r="F445" s="38"/>
    </row>
    <row r="446" spans="5:6" x14ac:dyDescent="0.25">
      <c r="E446" s="37"/>
      <c r="F446" s="38"/>
    </row>
    <row r="447" spans="5:6" x14ac:dyDescent="0.25">
      <c r="E447" s="37"/>
      <c r="F447" s="38"/>
    </row>
    <row r="448" spans="5:6" x14ac:dyDescent="0.25">
      <c r="E448" s="37"/>
      <c r="F448" s="38"/>
    </row>
    <row r="449" spans="5:6" x14ac:dyDescent="0.25">
      <c r="E449" s="37"/>
      <c r="F449" s="38"/>
    </row>
    <row r="450" spans="5:6" x14ac:dyDescent="0.25">
      <c r="E450" s="37"/>
      <c r="F450" s="38"/>
    </row>
    <row r="451" spans="5:6" x14ac:dyDescent="0.25">
      <c r="E451" s="37"/>
      <c r="F451" s="38"/>
    </row>
    <row r="452" spans="5:6" x14ac:dyDescent="0.25">
      <c r="E452" s="37"/>
      <c r="F452" s="38"/>
    </row>
    <row r="453" spans="5:6" x14ac:dyDescent="0.25">
      <c r="E453" s="37"/>
      <c r="F453" s="38"/>
    </row>
    <row r="454" spans="5:6" x14ac:dyDescent="0.25">
      <c r="E454" s="37"/>
      <c r="F454" s="38"/>
    </row>
    <row r="455" spans="5:6" x14ac:dyDescent="0.25">
      <c r="E455" s="37"/>
      <c r="F455" s="38"/>
    </row>
    <row r="456" spans="5:6" x14ac:dyDescent="0.25">
      <c r="E456" s="37"/>
      <c r="F456" s="38"/>
    </row>
    <row r="457" spans="5:6" x14ac:dyDescent="0.25">
      <c r="E457" s="37"/>
      <c r="F457" s="38"/>
    </row>
    <row r="458" spans="5:6" x14ac:dyDescent="0.25">
      <c r="E458" s="37"/>
      <c r="F458" s="38"/>
    </row>
    <row r="459" spans="5:6" x14ac:dyDescent="0.25">
      <c r="E459" s="37"/>
      <c r="F459" s="38"/>
    </row>
    <row r="460" spans="5:6" x14ac:dyDescent="0.25">
      <c r="E460" s="37"/>
      <c r="F460" s="38"/>
    </row>
    <row r="461" spans="5:6" x14ac:dyDescent="0.25">
      <c r="E461" s="37"/>
      <c r="F461" s="38"/>
    </row>
    <row r="462" spans="5:6" x14ac:dyDescent="0.25">
      <c r="E462" s="37"/>
      <c r="F462" s="38"/>
    </row>
    <row r="463" spans="5:6" x14ac:dyDescent="0.25">
      <c r="E463" s="37"/>
      <c r="F463" s="38"/>
    </row>
    <row r="464" spans="5:6" x14ac:dyDescent="0.25">
      <c r="E464" s="37"/>
      <c r="F464" s="38"/>
    </row>
    <row r="465" spans="5:6" x14ac:dyDescent="0.25">
      <c r="E465" s="37"/>
      <c r="F465" s="38"/>
    </row>
    <row r="466" spans="5:6" x14ac:dyDescent="0.25">
      <c r="E466" s="37"/>
      <c r="F466" s="38"/>
    </row>
    <row r="467" spans="5:6" x14ac:dyDescent="0.25">
      <c r="E467" s="37"/>
      <c r="F467" s="38"/>
    </row>
    <row r="468" spans="5:6" x14ac:dyDescent="0.25">
      <c r="E468" s="37"/>
      <c r="F468" s="38"/>
    </row>
    <row r="469" spans="5:6" x14ac:dyDescent="0.25">
      <c r="E469" s="37"/>
      <c r="F469" s="38"/>
    </row>
    <row r="470" spans="5:6" x14ac:dyDescent="0.25">
      <c r="E470" s="37"/>
      <c r="F470" s="38"/>
    </row>
    <row r="471" spans="5:6" x14ac:dyDescent="0.25">
      <c r="E471" s="37"/>
      <c r="F471" s="38"/>
    </row>
    <row r="472" spans="5:6" x14ac:dyDescent="0.25">
      <c r="E472" s="37"/>
      <c r="F472" s="38"/>
    </row>
    <row r="473" spans="5:6" x14ac:dyDescent="0.25">
      <c r="E473" s="37"/>
      <c r="F473" s="38"/>
    </row>
    <row r="474" spans="5:6" x14ac:dyDescent="0.25">
      <c r="E474" s="37"/>
      <c r="F474" s="38"/>
    </row>
    <row r="475" spans="5:6" x14ac:dyDescent="0.25">
      <c r="E475" s="37"/>
      <c r="F475" s="38"/>
    </row>
    <row r="476" spans="5:6" x14ac:dyDescent="0.25">
      <c r="E476" s="37"/>
      <c r="F476" s="38"/>
    </row>
    <row r="477" spans="5:6" x14ac:dyDescent="0.25">
      <c r="E477" s="37"/>
      <c r="F477" s="38"/>
    </row>
    <row r="478" spans="5:6" x14ac:dyDescent="0.25">
      <c r="E478" s="37"/>
      <c r="F478" s="38"/>
    </row>
    <row r="479" spans="5:6" x14ac:dyDescent="0.25">
      <c r="E479" s="37"/>
      <c r="F479" s="38"/>
    </row>
    <row r="480" spans="5:6" x14ac:dyDescent="0.25">
      <c r="E480" s="37"/>
      <c r="F480" s="38"/>
    </row>
    <row r="481" spans="5:6" x14ac:dyDescent="0.25">
      <c r="E481" s="37"/>
      <c r="F481" s="38"/>
    </row>
    <row r="482" spans="5:6" x14ac:dyDescent="0.25">
      <c r="E482" s="37"/>
      <c r="F482" s="38"/>
    </row>
    <row r="483" spans="5:6" x14ac:dyDescent="0.25">
      <c r="E483" s="37"/>
      <c r="F483" s="38"/>
    </row>
    <row r="484" spans="5:6" x14ac:dyDescent="0.25">
      <c r="E484" s="37"/>
      <c r="F484" s="38"/>
    </row>
    <row r="485" spans="5:6" x14ac:dyDescent="0.25">
      <c r="E485" s="37"/>
      <c r="F485" s="38"/>
    </row>
    <row r="486" spans="5:6" x14ac:dyDescent="0.25">
      <c r="E486" s="37"/>
      <c r="F486" s="38"/>
    </row>
    <row r="487" spans="5:6" x14ac:dyDescent="0.25">
      <c r="E487" s="37"/>
      <c r="F487" s="38"/>
    </row>
    <row r="488" spans="5:6" x14ac:dyDescent="0.25">
      <c r="E488" s="37"/>
      <c r="F488" s="38"/>
    </row>
    <row r="489" spans="5:6" x14ac:dyDescent="0.25">
      <c r="E489" s="37"/>
      <c r="F489" s="38"/>
    </row>
    <row r="490" spans="5:6" x14ac:dyDescent="0.25">
      <c r="E490" s="37"/>
      <c r="F490" s="38"/>
    </row>
    <row r="491" spans="5:6" x14ac:dyDescent="0.25">
      <c r="E491" s="37"/>
      <c r="F491" s="38"/>
    </row>
    <row r="492" spans="5:6" x14ac:dyDescent="0.25">
      <c r="E492" s="37"/>
      <c r="F492" s="38"/>
    </row>
    <row r="493" spans="5:6" x14ac:dyDescent="0.25">
      <c r="E493" s="37"/>
      <c r="F493" s="38"/>
    </row>
    <row r="494" spans="5:6" x14ac:dyDescent="0.25">
      <c r="E494" s="37"/>
      <c r="F494" s="38"/>
    </row>
    <row r="495" spans="5:6" x14ac:dyDescent="0.25">
      <c r="E495" s="37"/>
      <c r="F495" s="38"/>
    </row>
    <row r="496" spans="5:6" x14ac:dyDescent="0.25">
      <c r="E496" s="37"/>
      <c r="F496" s="38"/>
    </row>
    <row r="497" spans="5:6" x14ac:dyDescent="0.25">
      <c r="E497" s="37"/>
      <c r="F497" s="38"/>
    </row>
    <row r="498" spans="5:6" x14ac:dyDescent="0.25">
      <c r="E498" s="37"/>
      <c r="F498" s="38"/>
    </row>
    <row r="499" spans="5:6" x14ac:dyDescent="0.25">
      <c r="E499" s="37"/>
      <c r="F499" s="38"/>
    </row>
    <row r="500" spans="5:6" x14ac:dyDescent="0.25">
      <c r="E500" s="37"/>
      <c r="F500" s="38"/>
    </row>
    <row r="501" spans="5:6" x14ac:dyDescent="0.25">
      <c r="E501" s="37"/>
      <c r="F501" s="38"/>
    </row>
    <row r="502" spans="5:6" x14ac:dyDescent="0.25">
      <c r="E502" s="37"/>
      <c r="F502" s="38"/>
    </row>
    <row r="503" spans="5:6" x14ac:dyDescent="0.25">
      <c r="E503" s="37"/>
      <c r="F503" s="38"/>
    </row>
    <row r="504" spans="5:6" x14ac:dyDescent="0.25">
      <c r="E504" s="37"/>
      <c r="F504" s="38"/>
    </row>
    <row r="505" spans="5:6" x14ac:dyDescent="0.25">
      <c r="E505" s="37"/>
      <c r="F505" s="38"/>
    </row>
    <row r="506" spans="5:6" x14ac:dyDescent="0.25">
      <c r="E506" s="37"/>
      <c r="F506" s="38"/>
    </row>
    <row r="507" spans="5:6" x14ac:dyDescent="0.25">
      <c r="E507" s="37"/>
      <c r="F507" s="38"/>
    </row>
    <row r="508" spans="5:6" x14ac:dyDescent="0.25">
      <c r="E508" s="37"/>
      <c r="F508" s="38"/>
    </row>
    <row r="509" spans="5:6" x14ac:dyDescent="0.25">
      <c r="E509" s="37"/>
      <c r="F509" s="38"/>
    </row>
    <row r="510" spans="5:6" x14ac:dyDescent="0.25">
      <c r="E510" s="37"/>
      <c r="F510" s="38"/>
    </row>
    <row r="511" spans="5:6" x14ac:dyDescent="0.25">
      <c r="E511" s="37"/>
      <c r="F511" s="38"/>
    </row>
    <row r="512" spans="5:6" x14ac:dyDescent="0.25">
      <c r="E512" s="37"/>
      <c r="F512" s="38"/>
    </row>
    <row r="513" spans="5:6" x14ac:dyDescent="0.25">
      <c r="E513" s="37"/>
      <c r="F513" s="38"/>
    </row>
    <row r="514" spans="5:6" x14ac:dyDescent="0.25">
      <c r="E514" s="37"/>
      <c r="F514" s="38"/>
    </row>
    <row r="515" spans="5:6" x14ac:dyDescent="0.25">
      <c r="E515" s="37"/>
      <c r="F515" s="38"/>
    </row>
    <row r="516" spans="5:6" x14ac:dyDescent="0.25">
      <c r="E516" s="37"/>
      <c r="F516" s="38"/>
    </row>
    <row r="517" spans="5:6" x14ac:dyDescent="0.25">
      <c r="E517" s="37"/>
      <c r="F517" s="38"/>
    </row>
    <row r="518" spans="5:6" x14ac:dyDescent="0.25">
      <c r="E518" s="37"/>
      <c r="F518" s="38"/>
    </row>
    <row r="519" spans="5:6" x14ac:dyDescent="0.25">
      <c r="E519" s="37"/>
      <c r="F519" s="38"/>
    </row>
    <row r="520" spans="5:6" x14ac:dyDescent="0.25">
      <c r="E520" s="37"/>
      <c r="F520" s="38"/>
    </row>
    <row r="521" spans="5:6" x14ac:dyDescent="0.25">
      <c r="E521" s="37"/>
      <c r="F521" s="38"/>
    </row>
    <row r="522" spans="5:6" x14ac:dyDescent="0.25">
      <c r="E522" s="37"/>
      <c r="F522" s="38"/>
    </row>
    <row r="523" spans="5:6" x14ac:dyDescent="0.25">
      <c r="E523" s="37"/>
      <c r="F523" s="38"/>
    </row>
    <row r="524" spans="5:6" x14ac:dyDescent="0.25">
      <c r="E524" s="37"/>
      <c r="F524" s="38"/>
    </row>
    <row r="525" spans="5:6" x14ac:dyDescent="0.25">
      <c r="E525" s="37"/>
      <c r="F525" s="38"/>
    </row>
    <row r="526" spans="5:6" x14ac:dyDescent="0.25">
      <c r="E526" s="37"/>
      <c r="F526" s="38"/>
    </row>
    <row r="527" spans="5:6" x14ac:dyDescent="0.25">
      <c r="E527" s="37"/>
      <c r="F527" s="38"/>
    </row>
    <row r="528" spans="5:6" x14ac:dyDescent="0.25">
      <c r="E528" s="37"/>
      <c r="F528" s="38"/>
    </row>
    <row r="529" spans="5:6" x14ac:dyDescent="0.25">
      <c r="E529" s="37"/>
      <c r="F529" s="38"/>
    </row>
    <row r="530" spans="5:6" x14ac:dyDescent="0.25">
      <c r="E530" s="37"/>
      <c r="F530" s="38"/>
    </row>
    <row r="531" spans="5:6" x14ac:dyDescent="0.25">
      <c r="E531" s="37"/>
      <c r="F531" s="38"/>
    </row>
    <row r="532" spans="5:6" x14ac:dyDescent="0.25">
      <c r="E532" s="37"/>
      <c r="F532" s="38"/>
    </row>
    <row r="533" spans="5:6" x14ac:dyDescent="0.25">
      <c r="E533" s="37"/>
      <c r="F533" s="38"/>
    </row>
    <row r="534" spans="5:6" x14ac:dyDescent="0.25">
      <c r="E534" s="37"/>
      <c r="F534" s="38"/>
    </row>
    <row r="535" spans="5:6" x14ac:dyDescent="0.25">
      <c r="E535" s="37"/>
      <c r="F535" s="38"/>
    </row>
    <row r="536" spans="5:6" x14ac:dyDescent="0.25">
      <c r="E536" s="37"/>
      <c r="F536" s="38"/>
    </row>
    <row r="537" spans="5:6" x14ac:dyDescent="0.25">
      <c r="E537" s="37"/>
      <c r="F537" s="38"/>
    </row>
    <row r="538" spans="5:6" x14ac:dyDescent="0.25">
      <c r="E538" s="37"/>
      <c r="F538" s="38"/>
    </row>
    <row r="539" spans="5:6" x14ac:dyDescent="0.25">
      <c r="E539" s="37"/>
      <c r="F539" s="38"/>
    </row>
    <row r="540" spans="5:6" x14ac:dyDescent="0.25">
      <c r="E540" s="37"/>
      <c r="F540" s="38"/>
    </row>
    <row r="541" spans="5:6" x14ac:dyDescent="0.25">
      <c r="E541" s="37"/>
      <c r="F541" s="38"/>
    </row>
    <row r="542" spans="5:6" x14ac:dyDescent="0.25">
      <c r="E542" s="37"/>
      <c r="F542" s="38"/>
    </row>
    <row r="543" spans="5:6" x14ac:dyDescent="0.25">
      <c r="E543" s="37"/>
      <c r="F543" s="38"/>
    </row>
    <row r="544" spans="5:6" x14ac:dyDescent="0.25">
      <c r="E544" s="37"/>
      <c r="F544" s="38"/>
    </row>
    <row r="545" spans="5:6" x14ac:dyDescent="0.25">
      <c r="E545" s="37"/>
      <c r="F545" s="38"/>
    </row>
    <row r="546" spans="5:6" x14ac:dyDescent="0.25">
      <c r="E546" s="37"/>
      <c r="F546" s="38"/>
    </row>
    <row r="547" spans="5:6" x14ac:dyDescent="0.25">
      <c r="E547" s="37"/>
      <c r="F547" s="38"/>
    </row>
    <row r="548" spans="5:6" x14ac:dyDescent="0.25">
      <c r="E548" s="37"/>
      <c r="F548" s="38"/>
    </row>
    <row r="549" spans="5:6" x14ac:dyDescent="0.25">
      <c r="E549" s="37"/>
      <c r="F549" s="38"/>
    </row>
    <row r="550" spans="5:6" x14ac:dyDescent="0.25">
      <c r="E550" s="37"/>
      <c r="F550" s="38"/>
    </row>
    <row r="551" spans="5:6" x14ac:dyDescent="0.25">
      <c r="E551" s="37"/>
      <c r="F551" s="38"/>
    </row>
    <row r="552" spans="5:6" x14ac:dyDescent="0.25">
      <c r="E552" s="37"/>
      <c r="F552" s="38"/>
    </row>
    <row r="553" spans="5:6" x14ac:dyDescent="0.25">
      <c r="E553" s="37"/>
      <c r="F553" s="38"/>
    </row>
    <row r="554" spans="5:6" x14ac:dyDescent="0.25">
      <c r="E554" s="37"/>
      <c r="F554" s="38"/>
    </row>
    <row r="555" spans="5:6" x14ac:dyDescent="0.25">
      <c r="E555" s="37"/>
      <c r="F555" s="38"/>
    </row>
    <row r="556" spans="5:6" x14ac:dyDescent="0.25">
      <c r="E556" s="37"/>
      <c r="F556" s="38"/>
    </row>
    <row r="557" spans="5:6" x14ac:dyDescent="0.25">
      <c r="E557" s="37"/>
      <c r="F557" s="38"/>
    </row>
    <row r="558" spans="5:6" x14ac:dyDescent="0.25">
      <c r="E558" s="37"/>
      <c r="F558" s="38"/>
    </row>
    <row r="559" spans="5:6" x14ac:dyDescent="0.25">
      <c r="E559" s="37"/>
      <c r="F559" s="38"/>
    </row>
    <row r="560" spans="5:6" x14ac:dyDescent="0.25">
      <c r="E560" s="37"/>
      <c r="F560" s="38"/>
    </row>
    <row r="561" spans="5:6" x14ac:dyDescent="0.25">
      <c r="E561" s="37"/>
      <c r="F561" s="38"/>
    </row>
    <row r="562" spans="5:6" x14ac:dyDescent="0.25">
      <c r="E562" s="37"/>
      <c r="F562" s="38"/>
    </row>
    <row r="563" spans="5:6" x14ac:dyDescent="0.25">
      <c r="E563" s="37"/>
      <c r="F563" s="38"/>
    </row>
    <row r="564" spans="5:6" x14ac:dyDescent="0.25">
      <c r="E564" s="37"/>
      <c r="F564" s="38"/>
    </row>
    <row r="565" spans="5:6" x14ac:dyDescent="0.25">
      <c r="E565" s="37"/>
      <c r="F565" s="38"/>
    </row>
    <row r="566" spans="5:6" x14ac:dyDescent="0.25">
      <c r="E566" s="37"/>
      <c r="F566" s="38"/>
    </row>
    <row r="567" spans="5:6" x14ac:dyDescent="0.25">
      <c r="E567" s="37"/>
      <c r="F567" s="38"/>
    </row>
    <row r="568" spans="5:6" x14ac:dyDescent="0.25">
      <c r="E568" s="37"/>
      <c r="F568" s="38"/>
    </row>
    <row r="569" spans="5:6" x14ac:dyDescent="0.25">
      <c r="E569" s="37"/>
      <c r="F569" s="38"/>
    </row>
    <row r="570" spans="5:6" x14ac:dyDescent="0.25">
      <c r="E570" s="37"/>
      <c r="F570" s="38"/>
    </row>
    <row r="571" spans="5:6" x14ac:dyDescent="0.25">
      <c r="E571" s="37"/>
      <c r="F571" s="38"/>
    </row>
    <row r="572" spans="5:6" x14ac:dyDescent="0.25">
      <c r="E572" s="37"/>
      <c r="F572" s="38"/>
    </row>
    <row r="573" spans="5:6" x14ac:dyDescent="0.25">
      <c r="E573" s="37"/>
      <c r="F573" s="38"/>
    </row>
    <row r="574" spans="5:6" x14ac:dyDescent="0.25">
      <c r="E574" s="37"/>
      <c r="F574" s="38"/>
    </row>
    <row r="575" spans="5:6" x14ac:dyDescent="0.25">
      <c r="E575" s="37"/>
      <c r="F575" s="38"/>
    </row>
    <row r="576" spans="5:6" x14ac:dyDescent="0.25">
      <c r="E576" s="37"/>
      <c r="F576" s="38"/>
    </row>
    <row r="577" spans="5:6" x14ac:dyDescent="0.25">
      <c r="E577" s="37"/>
      <c r="F577" s="38"/>
    </row>
    <row r="578" spans="5:6" x14ac:dyDescent="0.25">
      <c r="E578" s="37"/>
      <c r="F578" s="38"/>
    </row>
    <row r="579" spans="5:6" x14ac:dyDescent="0.25">
      <c r="E579" s="37"/>
      <c r="F579" s="38"/>
    </row>
    <row r="580" spans="5:6" x14ac:dyDescent="0.25">
      <c r="E580" s="37"/>
      <c r="F580" s="38"/>
    </row>
    <row r="581" spans="5:6" x14ac:dyDescent="0.25">
      <c r="E581" s="37"/>
      <c r="F581" s="38"/>
    </row>
    <row r="582" spans="5:6" x14ac:dyDescent="0.25">
      <c r="E582" s="37"/>
      <c r="F582" s="38"/>
    </row>
    <row r="583" spans="5:6" x14ac:dyDescent="0.25">
      <c r="E583" s="37"/>
      <c r="F583" s="38"/>
    </row>
    <row r="584" spans="5:6" x14ac:dyDescent="0.25">
      <c r="E584" s="37"/>
      <c r="F584" s="38"/>
    </row>
    <row r="585" spans="5:6" x14ac:dyDescent="0.25">
      <c r="E585" s="37"/>
      <c r="F585" s="38"/>
    </row>
    <row r="586" spans="5:6" x14ac:dyDescent="0.25">
      <c r="E586" s="37"/>
      <c r="F586" s="38"/>
    </row>
    <row r="587" spans="5:6" x14ac:dyDescent="0.25">
      <c r="E587" s="37"/>
      <c r="F587" s="38"/>
    </row>
    <row r="588" spans="5:6" x14ac:dyDescent="0.25">
      <c r="E588" s="37"/>
      <c r="F588" s="38"/>
    </row>
    <row r="589" spans="5:6" x14ac:dyDescent="0.25">
      <c r="E589" s="37"/>
      <c r="F589" s="38"/>
    </row>
    <row r="590" spans="5:6" x14ac:dyDescent="0.25">
      <c r="E590" s="37"/>
      <c r="F590" s="38"/>
    </row>
    <row r="591" spans="5:6" x14ac:dyDescent="0.25">
      <c r="E591" s="37"/>
      <c r="F591" s="38"/>
    </row>
    <row r="592" spans="5:6" x14ac:dyDescent="0.25">
      <c r="E592" s="37"/>
      <c r="F592" s="38"/>
    </row>
    <row r="593" spans="5:6" x14ac:dyDescent="0.25">
      <c r="E593" s="37"/>
      <c r="F593" s="38"/>
    </row>
    <row r="594" spans="5:6" x14ac:dyDescent="0.25">
      <c r="E594" s="37"/>
      <c r="F594" s="38"/>
    </row>
    <row r="595" spans="5:6" x14ac:dyDescent="0.25">
      <c r="E595" s="37"/>
      <c r="F595" s="38"/>
    </row>
    <row r="596" spans="5:6" x14ac:dyDescent="0.25">
      <c r="E596" s="37"/>
      <c r="F596" s="38"/>
    </row>
    <row r="597" spans="5:6" x14ac:dyDescent="0.25">
      <c r="E597" s="37"/>
      <c r="F597" s="38"/>
    </row>
    <row r="598" spans="5:6" x14ac:dyDescent="0.25">
      <c r="E598" s="37"/>
      <c r="F598" s="38"/>
    </row>
    <row r="599" spans="5:6" x14ac:dyDescent="0.25">
      <c r="E599" s="37"/>
      <c r="F599" s="38"/>
    </row>
    <row r="600" spans="5:6" x14ac:dyDescent="0.25">
      <c r="E600" s="37"/>
      <c r="F600" s="38"/>
    </row>
    <row r="601" spans="5:6" x14ac:dyDescent="0.25">
      <c r="E601" s="37"/>
      <c r="F601" s="38"/>
    </row>
    <row r="602" spans="5:6" x14ac:dyDescent="0.25">
      <c r="E602" s="37"/>
      <c r="F602" s="38"/>
    </row>
    <row r="603" spans="5:6" x14ac:dyDescent="0.25">
      <c r="E603" s="37"/>
      <c r="F603" s="38"/>
    </row>
    <row r="604" spans="5:6" x14ac:dyDescent="0.25">
      <c r="E604" s="37"/>
      <c r="F604" s="38"/>
    </row>
    <row r="605" spans="5:6" x14ac:dyDescent="0.25">
      <c r="E605" s="37"/>
      <c r="F605" s="38"/>
    </row>
    <row r="606" spans="5:6" x14ac:dyDescent="0.25">
      <c r="E606" s="37"/>
      <c r="F606" s="38"/>
    </row>
    <row r="607" spans="5:6" x14ac:dyDescent="0.25">
      <c r="E607" s="37"/>
      <c r="F607" s="38"/>
    </row>
    <row r="608" spans="5:6" x14ac:dyDescent="0.25">
      <c r="E608" s="37"/>
      <c r="F608" s="38"/>
    </row>
    <row r="609" spans="5:6" x14ac:dyDescent="0.25">
      <c r="E609" s="37"/>
      <c r="F609" s="38"/>
    </row>
    <row r="610" spans="5:6" x14ac:dyDescent="0.25">
      <c r="E610" s="37"/>
      <c r="F610" s="38"/>
    </row>
    <row r="611" spans="5:6" x14ac:dyDescent="0.25">
      <c r="E611" s="37"/>
      <c r="F611" s="38"/>
    </row>
    <row r="612" spans="5:6" x14ac:dyDescent="0.25">
      <c r="E612" s="37"/>
      <c r="F612" s="38"/>
    </row>
    <row r="613" spans="5:6" x14ac:dyDescent="0.25">
      <c r="E613" s="37"/>
      <c r="F613" s="38"/>
    </row>
    <row r="614" spans="5:6" x14ac:dyDescent="0.25">
      <c r="E614" s="37"/>
      <c r="F614" s="38"/>
    </row>
    <row r="615" spans="5:6" x14ac:dyDescent="0.25">
      <c r="E615" s="37"/>
      <c r="F615" s="38"/>
    </row>
    <row r="616" spans="5:6" x14ac:dyDescent="0.25">
      <c r="E616" s="37"/>
      <c r="F616" s="38"/>
    </row>
    <row r="617" spans="5:6" x14ac:dyDescent="0.25">
      <c r="E617" s="37"/>
      <c r="F617" s="38"/>
    </row>
    <row r="618" spans="5:6" x14ac:dyDescent="0.25">
      <c r="E618" s="37"/>
      <c r="F618" s="38"/>
    </row>
    <row r="619" spans="5:6" x14ac:dyDescent="0.25">
      <c r="E619" s="37"/>
      <c r="F619" s="38"/>
    </row>
    <row r="620" spans="5:6" x14ac:dyDescent="0.25">
      <c r="E620" s="37"/>
      <c r="F620" s="38"/>
    </row>
    <row r="621" spans="5:6" x14ac:dyDescent="0.25">
      <c r="E621" s="37"/>
      <c r="F621" s="38"/>
    </row>
    <row r="622" spans="5:6" x14ac:dyDescent="0.25">
      <c r="E622" s="37"/>
      <c r="F622" s="38"/>
    </row>
    <row r="623" spans="5:6" x14ac:dyDescent="0.25">
      <c r="E623" s="37"/>
      <c r="F623" s="38"/>
    </row>
    <row r="624" spans="5:6" x14ac:dyDescent="0.25">
      <c r="E624" s="37"/>
      <c r="F624" s="38"/>
    </row>
    <row r="625" spans="5:6" x14ac:dyDescent="0.25">
      <c r="E625" s="37"/>
      <c r="F625" s="38"/>
    </row>
    <row r="626" spans="5:6" x14ac:dyDescent="0.25">
      <c r="E626" s="37"/>
      <c r="F626" s="38"/>
    </row>
    <row r="627" spans="5:6" x14ac:dyDescent="0.25">
      <c r="E627" s="37"/>
      <c r="F627" s="38"/>
    </row>
    <row r="628" spans="5:6" x14ac:dyDescent="0.25">
      <c r="E628" s="37"/>
      <c r="F628" s="38"/>
    </row>
    <row r="629" spans="5:6" x14ac:dyDescent="0.25">
      <c r="E629" s="37"/>
      <c r="F629" s="38"/>
    </row>
    <row r="630" spans="5:6" x14ac:dyDescent="0.25">
      <c r="E630" s="37"/>
      <c r="F630" s="38"/>
    </row>
    <row r="631" spans="5:6" x14ac:dyDescent="0.25">
      <c r="E631" s="37"/>
      <c r="F631" s="38"/>
    </row>
    <row r="632" spans="5:6" x14ac:dyDescent="0.25">
      <c r="E632" s="37"/>
      <c r="F632" s="38"/>
    </row>
    <row r="633" spans="5:6" x14ac:dyDescent="0.25">
      <c r="E633" s="37"/>
      <c r="F633" s="38"/>
    </row>
    <row r="634" spans="5:6" x14ac:dyDescent="0.25">
      <c r="E634" s="37"/>
      <c r="F634" s="38"/>
    </row>
    <row r="635" spans="5:6" x14ac:dyDescent="0.25">
      <c r="E635" s="37"/>
      <c r="F635" s="38"/>
    </row>
    <row r="636" spans="5:6" x14ac:dyDescent="0.25">
      <c r="E636" s="37"/>
      <c r="F636" s="38"/>
    </row>
    <row r="637" spans="5:6" x14ac:dyDescent="0.25">
      <c r="E637" s="37"/>
      <c r="F637" s="38"/>
    </row>
    <row r="638" spans="5:6" x14ac:dyDescent="0.25">
      <c r="E638" s="37"/>
      <c r="F638" s="38"/>
    </row>
    <row r="639" spans="5:6" x14ac:dyDescent="0.25">
      <c r="E639" s="37"/>
      <c r="F639" s="38"/>
    </row>
    <row r="640" spans="5:6" x14ac:dyDescent="0.25">
      <c r="E640" s="37"/>
      <c r="F640" s="38"/>
    </row>
    <row r="641" spans="5:6" x14ac:dyDescent="0.25">
      <c r="E641" s="37"/>
      <c r="F641" s="38"/>
    </row>
    <row r="642" spans="5:6" x14ac:dyDescent="0.25">
      <c r="E642" s="37"/>
      <c r="F642" s="38"/>
    </row>
    <row r="643" spans="5:6" x14ac:dyDescent="0.25">
      <c r="E643" s="37"/>
      <c r="F643" s="38"/>
    </row>
    <row r="644" spans="5:6" x14ac:dyDescent="0.25">
      <c r="E644" s="37"/>
      <c r="F644" s="38"/>
    </row>
    <row r="645" spans="5:6" x14ac:dyDescent="0.25">
      <c r="E645" s="37"/>
      <c r="F645" s="38"/>
    </row>
    <row r="646" spans="5:6" x14ac:dyDescent="0.25">
      <c r="E646" s="37"/>
      <c r="F646" s="38"/>
    </row>
    <row r="647" spans="5:6" x14ac:dyDescent="0.25">
      <c r="E647" s="37"/>
      <c r="F647" s="38"/>
    </row>
    <row r="648" spans="5:6" x14ac:dyDescent="0.25">
      <c r="E648" s="37"/>
      <c r="F648" s="38"/>
    </row>
    <row r="649" spans="5:6" x14ac:dyDescent="0.25">
      <c r="E649" s="37"/>
      <c r="F649" s="38"/>
    </row>
    <row r="650" spans="5:6" x14ac:dyDescent="0.25">
      <c r="E650" s="37"/>
      <c r="F650" s="38"/>
    </row>
    <row r="651" spans="5:6" x14ac:dyDescent="0.25">
      <c r="E651" s="37"/>
      <c r="F651" s="38"/>
    </row>
    <row r="652" spans="5:6" x14ac:dyDescent="0.25">
      <c r="E652" s="37"/>
      <c r="F652" s="38"/>
    </row>
    <row r="653" spans="5:6" x14ac:dyDescent="0.25">
      <c r="E653" s="37"/>
      <c r="F653" s="38"/>
    </row>
    <row r="654" spans="5:6" x14ac:dyDescent="0.25">
      <c r="E654" s="37"/>
      <c r="F654" s="38"/>
    </row>
    <row r="655" spans="5:6" x14ac:dyDescent="0.25">
      <c r="E655" s="37"/>
      <c r="F655" s="38"/>
    </row>
    <row r="656" spans="5:6" x14ac:dyDescent="0.25">
      <c r="E656" s="37"/>
      <c r="F656" s="38"/>
    </row>
    <row r="657" spans="5:6" x14ac:dyDescent="0.25">
      <c r="E657" s="37"/>
      <c r="F657" s="38"/>
    </row>
    <row r="658" spans="5:6" x14ac:dyDescent="0.25">
      <c r="E658" s="37"/>
      <c r="F658" s="38"/>
    </row>
    <row r="659" spans="5:6" x14ac:dyDescent="0.25">
      <c r="E659" s="37"/>
      <c r="F659" s="38"/>
    </row>
    <row r="660" spans="5:6" x14ac:dyDescent="0.25">
      <c r="E660" s="37"/>
      <c r="F660" s="38"/>
    </row>
    <row r="661" spans="5:6" x14ac:dyDescent="0.25">
      <c r="E661" s="37"/>
      <c r="F661" s="38"/>
    </row>
    <row r="662" spans="5:6" x14ac:dyDescent="0.25">
      <c r="E662" s="37"/>
      <c r="F662" s="38"/>
    </row>
    <row r="663" spans="5:6" x14ac:dyDescent="0.25">
      <c r="E663" s="37"/>
      <c r="F663" s="38"/>
    </row>
    <row r="664" spans="5:6" x14ac:dyDescent="0.25">
      <c r="E664" s="37"/>
      <c r="F664" s="38"/>
    </row>
    <row r="665" spans="5:6" x14ac:dyDescent="0.25">
      <c r="E665" s="37"/>
      <c r="F665" s="38"/>
    </row>
    <row r="666" spans="5:6" x14ac:dyDescent="0.25">
      <c r="E666" s="37"/>
      <c r="F666" s="38"/>
    </row>
    <row r="667" spans="5:6" x14ac:dyDescent="0.25">
      <c r="E667" s="37"/>
      <c r="F667" s="38"/>
    </row>
    <row r="668" spans="5:6" x14ac:dyDescent="0.25">
      <c r="E668" s="37"/>
      <c r="F668" s="38"/>
    </row>
    <row r="669" spans="5:6" x14ac:dyDescent="0.25">
      <c r="E669" s="37"/>
      <c r="F669" s="38"/>
    </row>
    <row r="670" spans="5:6" x14ac:dyDescent="0.25">
      <c r="E670" s="37"/>
      <c r="F670" s="38"/>
    </row>
    <row r="671" spans="5:6" x14ac:dyDescent="0.25">
      <c r="E671" s="37"/>
      <c r="F671" s="38"/>
    </row>
    <row r="672" spans="5:6" x14ac:dyDescent="0.25">
      <c r="E672" s="37"/>
      <c r="F672" s="38"/>
    </row>
    <row r="673" spans="5:6" x14ac:dyDescent="0.25">
      <c r="E673" s="37"/>
      <c r="F673" s="38"/>
    </row>
    <row r="674" spans="5:6" x14ac:dyDescent="0.25">
      <c r="E674" s="37"/>
      <c r="F674" s="38"/>
    </row>
    <row r="675" spans="5:6" x14ac:dyDescent="0.25">
      <c r="E675" s="37"/>
      <c r="F675" s="38"/>
    </row>
    <row r="676" spans="5:6" x14ac:dyDescent="0.25">
      <c r="E676" s="37"/>
      <c r="F676" s="38"/>
    </row>
    <row r="677" spans="5:6" x14ac:dyDescent="0.25">
      <c r="E677" s="37"/>
      <c r="F677" s="38"/>
    </row>
    <row r="678" spans="5:6" x14ac:dyDescent="0.25">
      <c r="E678" s="37"/>
      <c r="F678" s="38"/>
    </row>
    <row r="679" spans="5:6" x14ac:dyDescent="0.25">
      <c r="E679" s="37"/>
      <c r="F679" s="38"/>
    </row>
    <row r="680" spans="5:6" x14ac:dyDescent="0.25">
      <c r="E680" s="37"/>
      <c r="F680" s="38"/>
    </row>
    <row r="681" spans="5:6" x14ac:dyDescent="0.25">
      <c r="E681" s="37"/>
      <c r="F681" s="38"/>
    </row>
    <row r="682" spans="5:6" x14ac:dyDescent="0.25">
      <c r="E682" s="37"/>
      <c r="F682" s="38"/>
    </row>
    <row r="683" spans="5:6" x14ac:dyDescent="0.25">
      <c r="E683" s="37"/>
      <c r="F683" s="38"/>
    </row>
    <row r="684" spans="5:6" x14ac:dyDescent="0.25">
      <c r="E684" s="37"/>
      <c r="F684" s="38"/>
    </row>
    <row r="685" spans="5:6" x14ac:dyDescent="0.25">
      <c r="E685" s="37"/>
      <c r="F685" s="38"/>
    </row>
    <row r="686" spans="5:6" x14ac:dyDescent="0.25">
      <c r="E686" s="37"/>
      <c r="F686" s="38"/>
    </row>
    <row r="687" spans="5:6" x14ac:dyDescent="0.25">
      <c r="E687" s="37"/>
      <c r="F687" s="38"/>
    </row>
    <row r="688" spans="5:6" x14ac:dyDescent="0.25">
      <c r="E688" s="37"/>
      <c r="F688" s="38"/>
    </row>
    <row r="689" spans="5:6" x14ac:dyDescent="0.25">
      <c r="E689" s="37"/>
      <c r="F689" s="38"/>
    </row>
    <row r="690" spans="5:6" x14ac:dyDescent="0.25">
      <c r="E690" s="37"/>
      <c r="F690" s="38"/>
    </row>
    <row r="691" spans="5:6" x14ac:dyDescent="0.25">
      <c r="E691" s="37"/>
      <c r="F691" s="38"/>
    </row>
    <row r="692" spans="5:6" x14ac:dyDescent="0.25">
      <c r="E692" s="37"/>
      <c r="F692" s="38"/>
    </row>
    <row r="693" spans="5:6" x14ac:dyDescent="0.25">
      <c r="E693" s="37"/>
      <c r="F693" s="38"/>
    </row>
    <row r="694" spans="5:6" x14ac:dyDescent="0.25">
      <c r="E694" s="37"/>
      <c r="F694" s="38"/>
    </row>
    <row r="695" spans="5:6" x14ac:dyDescent="0.25">
      <c r="E695" s="37"/>
      <c r="F695" s="38"/>
    </row>
    <row r="696" spans="5:6" x14ac:dyDescent="0.25">
      <c r="E696" s="37"/>
      <c r="F696" s="38"/>
    </row>
    <row r="697" spans="5:6" x14ac:dyDescent="0.25">
      <c r="E697" s="37"/>
      <c r="F697" s="38"/>
    </row>
    <row r="698" spans="5:6" x14ac:dyDescent="0.25">
      <c r="E698" s="37"/>
      <c r="F698" s="38"/>
    </row>
    <row r="699" spans="5:6" x14ac:dyDescent="0.25">
      <c r="E699" s="37"/>
      <c r="F699" s="38"/>
    </row>
    <row r="700" spans="5:6" x14ac:dyDescent="0.25">
      <c r="E700" s="37"/>
      <c r="F700" s="38"/>
    </row>
    <row r="701" spans="5:6" x14ac:dyDescent="0.25">
      <c r="E701" s="37"/>
      <c r="F701" s="38"/>
    </row>
    <row r="702" spans="5:6" x14ac:dyDescent="0.25">
      <c r="E702" s="37"/>
      <c r="F702" s="38"/>
    </row>
    <row r="703" spans="5:6" x14ac:dyDescent="0.25">
      <c r="E703" s="37"/>
      <c r="F703" s="38"/>
    </row>
    <row r="704" spans="5:6" x14ac:dyDescent="0.25">
      <c r="E704" s="37"/>
      <c r="F704" s="38"/>
    </row>
    <row r="705" spans="5:6" x14ac:dyDescent="0.25">
      <c r="E705" s="37"/>
      <c r="F705" s="38"/>
    </row>
    <row r="706" spans="5:6" x14ac:dyDescent="0.25">
      <c r="E706" s="37"/>
      <c r="F706" s="38"/>
    </row>
    <row r="707" spans="5:6" x14ac:dyDescent="0.25">
      <c r="E707" s="37"/>
      <c r="F707" s="38"/>
    </row>
    <row r="708" spans="5:6" x14ac:dyDescent="0.25">
      <c r="E708" s="37"/>
      <c r="F708" s="38"/>
    </row>
    <row r="709" spans="5:6" x14ac:dyDescent="0.25">
      <c r="E709" s="37"/>
      <c r="F709" s="38"/>
    </row>
    <row r="710" spans="5:6" x14ac:dyDescent="0.25">
      <c r="E710" s="37"/>
      <c r="F710" s="38"/>
    </row>
    <row r="711" spans="5:6" x14ac:dyDescent="0.25">
      <c r="E711" s="37"/>
      <c r="F711" s="38"/>
    </row>
    <row r="712" spans="5:6" x14ac:dyDescent="0.25">
      <c r="E712" s="37"/>
      <c r="F712" s="38"/>
    </row>
    <row r="713" spans="5:6" x14ac:dyDescent="0.25">
      <c r="E713" s="37"/>
      <c r="F713" s="38"/>
    </row>
    <row r="714" spans="5:6" x14ac:dyDescent="0.25">
      <c r="E714" s="37"/>
      <c r="F714" s="38"/>
    </row>
    <row r="715" spans="5:6" x14ac:dyDescent="0.25">
      <c r="E715" s="37"/>
      <c r="F715" s="38"/>
    </row>
    <row r="716" spans="5:6" x14ac:dyDescent="0.25">
      <c r="E716" s="37"/>
      <c r="F716" s="38"/>
    </row>
    <row r="717" spans="5:6" x14ac:dyDescent="0.25">
      <c r="E717" s="37"/>
      <c r="F717" s="38"/>
    </row>
    <row r="718" spans="5:6" x14ac:dyDescent="0.25">
      <c r="E718" s="37"/>
      <c r="F718" s="38"/>
    </row>
    <row r="719" spans="5:6" x14ac:dyDescent="0.25">
      <c r="E719" s="37"/>
      <c r="F719" s="38"/>
    </row>
    <row r="720" spans="5:6" x14ac:dyDescent="0.25">
      <c r="E720" s="37"/>
      <c r="F720" s="38"/>
    </row>
    <row r="721" spans="5:6" x14ac:dyDescent="0.25">
      <c r="E721" s="37"/>
      <c r="F721" s="38"/>
    </row>
    <row r="722" spans="5:6" x14ac:dyDescent="0.25">
      <c r="E722" s="37"/>
      <c r="F722" s="38"/>
    </row>
    <row r="723" spans="5:6" x14ac:dyDescent="0.25">
      <c r="E723" s="37"/>
      <c r="F723" s="38"/>
    </row>
    <row r="724" spans="5:6" x14ac:dyDescent="0.25">
      <c r="E724" s="37"/>
      <c r="F724" s="38"/>
    </row>
    <row r="725" spans="5:6" x14ac:dyDescent="0.25">
      <c r="E725" s="37"/>
      <c r="F725" s="38"/>
    </row>
    <row r="726" spans="5:6" x14ac:dyDescent="0.25">
      <c r="E726" s="37"/>
      <c r="F726" s="38"/>
    </row>
    <row r="727" spans="5:6" x14ac:dyDescent="0.25">
      <c r="E727" s="37"/>
      <c r="F727" s="38"/>
    </row>
    <row r="728" spans="5:6" x14ac:dyDescent="0.25">
      <c r="E728" s="37"/>
      <c r="F728" s="38"/>
    </row>
    <row r="729" spans="5:6" x14ac:dyDescent="0.25">
      <c r="E729" s="37"/>
      <c r="F729" s="38"/>
    </row>
    <row r="730" spans="5:6" x14ac:dyDescent="0.25">
      <c r="E730" s="37"/>
      <c r="F730" s="38"/>
    </row>
    <row r="731" spans="5:6" x14ac:dyDescent="0.25">
      <c r="E731" s="37"/>
      <c r="F731" s="38"/>
    </row>
    <row r="732" spans="5:6" x14ac:dyDescent="0.25">
      <c r="E732" s="37"/>
      <c r="F732" s="38"/>
    </row>
    <row r="733" spans="5:6" x14ac:dyDescent="0.25">
      <c r="E733" s="37"/>
      <c r="F733" s="38"/>
    </row>
    <row r="734" spans="5:6" x14ac:dyDescent="0.25">
      <c r="E734" s="37"/>
      <c r="F734" s="38"/>
    </row>
    <row r="735" spans="5:6" x14ac:dyDescent="0.25">
      <c r="E735" s="37"/>
      <c r="F735" s="38"/>
    </row>
    <row r="736" spans="5:6" x14ac:dyDescent="0.25">
      <c r="E736" s="37"/>
      <c r="F736" s="38"/>
    </row>
    <row r="737" spans="5:6" x14ac:dyDescent="0.25">
      <c r="E737" s="37"/>
      <c r="F737" s="38"/>
    </row>
    <row r="738" spans="5:6" x14ac:dyDescent="0.25">
      <c r="E738" s="37"/>
      <c r="F738" s="38"/>
    </row>
    <row r="739" spans="5:6" x14ac:dyDescent="0.25">
      <c r="E739" s="37"/>
      <c r="F739" s="38"/>
    </row>
    <row r="740" spans="5:6" x14ac:dyDescent="0.25">
      <c r="E740" s="37"/>
      <c r="F740" s="38"/>
    </row>
    <row r="741" spans="5:6" x14ac:dyDescent="0.25">
      <c r="E741" s="37"/>
      <c r="F741" s="38"/>
    </row>
    <row r="742" spans="5:6" x14ac:dyDescent="0.25">
      <c r="E742" s="37"/>
      <c r="F742" s="38"/>
    </row>
    <row r="743" spans="5:6" x14ac:dyDescent="0.25">
      <c r="E743" s="37"/>
      <c r="F743" s="38"/>
    </row>
    <row r="744" spans="5:6" x14ac:dyDescent="0.25">
      <c r="E744" s="37"/>
      <c r="F744" s="38"/>
    </row>
    <row r="745" spans="5:6" x14ac:dyDescent="0.25">
      <c r="E745" s="37"/>
      <c r="F745" s="38"/>
    </row>
    <row r="746" spans="5:6" x14ac:dyDescent="0.25">
      <c r="E746" s="37"/>
      <c r="F746" s="38"/>
    </row>
    <row r="747" spans="5:6" x14ac:dyDescent="0.25">
      <c r="E747" s="37"/>
      <c r="F747" s="38"/>
    </row>
    <row r="748" spans="5:6" x14ac:dyDescent="0.25">
      <c r="E748" s="37"/>
      <c r="F748" s="38"/>
    </row>
    <row r="749" spans="5:6" x14ac:dyDescent="0.25">
      <c r="E749" s="37"/>
      <c r="F749" s="38"/>
    </row>
    <row r="750" spans="5:6" x14ac:dyDescent="0.25">
      <c r="E750" s="37"/>
      <c r="F750" s="38"/>
    </row>
    <row r="751" spans="5:6" x14ac:dyDescent="0.25">
      <c r="E751" s="37"/>
      <c r="F751" s="38"/>
    </row>
    <row r="752" spans="5:6" x14ac:dyDescent="0.25">
      <c r="E752" s="37"/>
      <c r="F752" s="38"/>
    </row>
    <row r="753" spans="5:6" x14ac:dyDescent="0.25">
      <c r="E753" s="37"/>
      <c r="F753" s="38"/>
    </row>
    <row r="754" spans="5:6" x14ac:dyDescent="0.25">
      <c r="E754" s="37"/>
      <c r="F754" s="38"/>
    </row>
    <row r="755" spans="5:6" x14ac:dyDescent="0.25">
      <c r="E755" s="37"/>
      <c r="F755" s="38"/>
    </row>
    <row r="756" spans="5:6" x14ac:dyDescent="0.25">
      <c r="E756" s="37"/>
      <c r="F756" s="38"/>
    </row>
    <row r="757" spans="5:6" x14ac:dyDescent="0.25">
      <c r="E757" s="37"/>
      <c r="F757" s="38"/>
    </row>
    <row r="758" spans="5:6" x14ac:dyDescent="0.25">
      <c r="E758" s="37"/>
      <c r="F758" s="38"/>
    </row>
    <row r="759" spans="5:6" x14ac:dyDescent="0.25">
      <c r="E759" s="37"/>
      <c r="F759" s="38"/>
    </row>
    <row r="760" spans="5:6" x14ac:dyDescent="0.25">
      <c r="E760" s="37"/>
      <c r="F760" s="38"/>
    </row>
    <row r="761" spans="5:6" x14ac:dyDescent="0.25">
      <c r="E761" s="37"/>
      <c r="F761" s="38"/>
    </row>
    <row r="762" spans="5:6" x14ac:dyDescent="0.25">
      <c r="E762" s="37"/>
      <c r="F762" s="38"/>
    </row>
    <row r="763" spans="5:6" x14ac:dyDescent="0.25">
      <c r="E763" s="37"/>
      <c r="F763" s="38"/>
    </row>
    <row r="764" spans="5:6" x14ac:dyDescent="0.25">
      <c r="E764" s="37"/>
      <c r="F764" s="38"/>
    </row>
    <row r="765" spans="5:6" x14ac:dyDescent="0.25">
      <c r="E765" s="37"/>
      <c r="F765" s="38"/>
    </row>
    <row r="766" spans="5:6" x14ac:dyDescent="0.25">
      <c r="E766" s="37"/>
      <c r="F766" s="38"/>
    </row>
    <row r="767" spans="5:6" x14ac:dyDescent="0.25">
      <c r="E767" s="37"/>
      <c r="F767" s="38"/>
    </row>
    <row r="768" spans="5:6" x14ac:dyDescent="0.25">
      <c r="E768" s="37"/>
      <c r="F768" s="38"/>
    </row>
    <row r="769" spans="5:6" x14ac:dyDescent="0.25">
      <c r="E769" s="37"/>
      <c r="F769" s="38"/>
    </row>
    <row r="770" spans="5:6" x14ac:dyDescent="0.25">
      <c r="E770" s="37"/>
      <c r="F770" s="38"/>
    </row>
    <row r="771" spans="5:6" x14ac:dyDescent="0.25">
      <c r="E771" s="37"/>
      <c r="F771" s="38"/>
    </row>
    <row r="772" spans="5:6" x14ac:dyDescent="0.25">
      <c r="E772" s="37"/>
      <c r="F772" s="38"/>
    </row>
    <row r="773" spans="5:6" x14ac:dyDescent="0.25">
      <c r="E773" s="37"/>
      <c r="F773" s="38"/>
    </row>
    <row r="774" spans="5:6" x14ac:dyDescent="0.25">
      <c r="E774" s="37"/>
      <c r="F774" s="38"/>
    </row>
    <row r="775" spans="5:6" x14ac:dyDescent="0.25">
      <c r="E775" s="37"/>
      <c r="F775" s="38"/>
    </row>
    <row r="776" spans="5:6" x14ac:dyDescent="0.25">
      <c r="E776" s="37"/>
      <c r="F776" s="38"/>
    </row>
    <row r="777" spans="5:6" x14ac:dyDescent="0.25">
      <c r="E777" s="37"/>
      <c r="F777" s="38"/>
    </row>
    <row r="778" spans="5:6" x14ac:dyDescent="0.25">
      <c r="E778" s="37"/>
      <c r="F778" s="38"/>
    </row>
    <row r="779" spans="5:6" x14ac:dyDescent="0.25">
      <c r="E779" s="37"/>
      <c r="F779" s="38"/>
    </row>
    <row r="780" spans="5:6" x14ac:dyDescent="0.25">
      <c r="E780" s="37"/>
      <c r="F780" s="38"/>
    </row>
    <row r="781" spans="5:6" x14ac:dyDescent="0.25">
      <c r="E781" s="37"/>
      <c r="F781" s="38"/>
    </row>
    <row r="782" spans="5:6" x14ac:dyDescent="0.25">
      <c r="E782" s="37"/>
      <c r="F782" s="38"/>
    </row>
    <row r="783" spans="5:6" x14ac:dyDescent="0.25">
      <c r="E783" s="37"/>
      <c r="F783" s="38"/>
    </row>
    <row r="784" spans="5:6" x14ac:dyDescent="0.25">
      <c r="E784" s="37"/>
      <c r="F784" s="38"/>
    </row>
    <row r="785" spans="5:6" x14ac:dyDescent="0.25">
      <c r="E785" s="37"/>
      <c r="F785" s="38"/>
    </row>
    <row r="786" spans="5:6" x14ac:dyDescent="0.25">
      <c r="E786" s="37"/>
      <c r="F786" s="38"/>
    </row>
    <row r="787" spans="5:6" x14ac:dyDescent="0.25">
      <c r="E787" s="37"/>
      <c r="F787" s="38"/>
    </row>
    <row r="788" spans="5:6" x14ac:dyDescent="0.25">
      <c r="E788" s="37"/>
      <c r="F788" s="38"/>
    </row>
    <row r="789" spans="5:6" x14ac:dyDescent="0.25">
      <c r="E789" s="37"/>
      <c r="F789" s="38"/>
    </row>
    <row r="790" spans="5:6" x14ac:dyDescent="0.25">
      <c r="E790" s="37"/>
      <c r="F790" s="38"/>
    </row>
    <row r="791" spans="5:6" x14ac:dyDescent="0.25">
      <c r="E791" s="37"/>
      <c r="F791" s="38"/>
    </row>
    <row r="792" spans="5:6" x14ac:dyDescent="0.25">
      <c r="E792" s="37"/>
      <c r="F792" s="38"/>
    </row>
    <row r="793" spans="5:6" x14ac:dyDescent="0.25">
      <c r="E793" s="37"/>
      <c r="F793" s="38"/>
    </row>
    <row r="794" spans="5:6" x14ac:dyDescent="0.25">
      <c r="E794" s="37"/>
      <c r="F794" s="38"/>
    </row>
    <row r="795" spans="5:6" x14ac:dyDescent="0.25">
      <c r="E795" s="37"/>
      <c r="F795" s="38"/>
    </row>
    <row r="796" spans="5:6" x14ac:dyDescent="0.25">
      <c r="E796" s="37"/>
      <c r="F796" s="38"/>
    </row>
    <row r="797" spans="5:6" x14ac:dyDescent="0.25">
      <c r="E797" s="37"/>
      <c r="F797" s="38"/>
    </row>
    <row r="798" spans="5:6" x14ac:dyDescent="0.25">
      <c r="E798" s="37"/>
      <c r="F798" s="38"/>
    </row>
    <row r="799" spans="5:6" x14ac:dyDescent="0.25">
      <c r="E799" s="37"/>
      <c r="F799" s="38"/>
    </row>
    <row r="800" spans="5:6" x14ac:dyDescent="0.25">
      <c r="E800" s="37"/>
      <c r="F800" s="38"/>
    </row>
    <row r="801" spans="5:6" x14ac:dyDescent="0.25">
      <c r="E801" s="37"/>
      <c r="F801" s="38"/>
    </row>
    <row r="802" spans="5:6" x14ac:dyDescent="0.25">
      <c r="E802" s="37"/>
      <c r="F802" s="38"/>
    </row>
    <row r="803" spans="5:6" x14ac:dyDescent="0.25">
      <c r="E803" s="37"/>
      <c r="F803" s="38"/>
    </row>
    <row r="804" spans="5:6" x14ac:dyDescent="0.25">
      <c r="E804" s="37"/>
      <c r="F804" s="38"/>
    </row>
    <row r="805" spans="5:6" x14ac:dyDescent="0.25">
      <c r="E805" s="37"/>
      <c r="F805" s="38"/>
    </row>
    <row r="806" spans="5:6" x14ac:dyDescent="0.25">
      <c r="E806" s="37"/>
      <c r="F806" s="38"/>
    </row>
    <row r="807" spans="5:6" x14ac:dyDescent="0.25">
      <c r="E807" s="37"/>
      <c r="F807" s="38"/>
    </row>
    <row r="808" spans="5:6" x14ac:dyDescent="0.25">
      <c r="E808" s="37"/>
      <c r="F808" s="38"/>
    </row>
    <row r="809" spans="5:6" x14ac:dyDescent="0.25">
      <c r="E809" s="37"/>
      <c r="F809" s="38"/>
    </row>
    <row r="810" spans="5:6" x14ac:dyDescent="0.25">
      <c r="E810" s="37"/>
      <c r="F810" s="38"/>
    </row>
    <row r="811" spans="5:6" x14ac:dyDescent="0.25">
      <c r="E811" s="37"/>
      <c r="F811" s="38"/>
    </row>
    <row r="812" spans="5:6" x14ac:dyDescent="0.25">
      <c r="E812" s="37"/>
      <c r="F812" s="38"/>
    </row>
    <row r="813" spans="5:6" x14ac:dyDescent="0.25">
      <c r="E813" s="37"/>
      <c r="F813" s="38"/>
    </row>
    <row r="814" spans="5:6" x14ac:dyDescent="0.25">
      <c r="E814" s="37"/>
      <c r="F814" s="38"/>
    </row>
    <row r="815" spans="5:6" x14ac:dyDescent="0.25">
      <c r="E815" s="37"/>
      <c r="F815" s="38"/>
    </row>
    <row r="816" spans="5:6" x14ac:dyDescent="0.25">
      <c r="E816" s="37"/>
      <c r="F816" s="38"/>
    </row>
    <row r="817" spans="5:6" x14ac:dyDescent="0.25">
      <c r="E817" s="37"/>
      <c r="F817" s="38"/>
    </row>
    <row r="818" spans="5:6" x14ac:dyDescent="0.25">
      <c r="E818" s="37"/>
      <c r="F818" s="38"/>
    </row>
    <row r="819" spans="5:6" x14ac:dyDescent="0.25">
      <c r="E819" s="37"/>
      <c r="F819" s="38"/>
    </row>
    <row r="820" spans="5:6" x14ac:dyDescent="0.25">
      <c r="E820" s="37"/>
      <c r="F820" s="38"/>
    </row>
    <row r="821" spans="5:6" x14ac:dyDescent="0.25">
      <c r="E821" s="37"/>
      <c r="F821" s="38"/>
    </row>
    <row r="822" spans="5:6" x14ac:dyDescent="0.25">
      <c r="E822" s="37"/>
      <c r="F822" s="38"/>
    </row>
    <row r="823" spans="5:6" x14ac:dyDescent="0.25">
      <c r="E823" s="37"/>
      <c r="F823" s="38"/>
    </row>
    <row r="824" spans="5:6" x14ac:dyDescent="0.25">
      <c r="E824" s="37"/>
      <c r="F824" s="38"/>
    </row>
    <row r="825" spans="5:6" x14ac:dyDescent="0.25">
      <c r="E825" s="37"/>
      <c r="F825" s="38"/>
    </row>
    <row r="826" spans="5:6" x14ac:dyDescent="0.25">
      <c r="E826" s="37"/>
      <c r="F826" s="38"/>
    </row>
    <row r="827" spans="5:6" x14ac:dyDescent="0.25">
      <c r="E827" s="37"/>
      <c r="F827" s="38"/>
    </row>
    <row r="828" spans="5:6" x14ac:dyDescent="0.25">
      <c r="E828" s="37"/>
      <c r="F828" s="38"/>
    </row>
    <row r="829" spans="5:6" x14ac:dyDescent="0.25">
      <c r="E829" s="37"/>
      <c r="F829" s="38"/>
    </row>
    <row r="830" spans="5:6" x14ac:dyDescent="0.25">
      <c r="E830" s="37"/>
      <c r="F830" s="38"/>
    </row>
    <row r="831" spans="5:6" x14ac:dyDescent="0.25">
      <c r="E831" s="37"/>
      <c r="F831" s="38"/>
    </row>
    <row r="832" spans="5:6" x14ac:dyDescent="0.25">
      <c r="E832" s="37"/>
      <c r="F832" s="38"/>
    </row>
    <row r="833" spans="5:6" x14ac:dyDescent="0.25">
      <c r="E833" s="37"/>
      <c r="F833" s="38"/>
    </row>
    <row r="834" spans="5:6" x14ac:dyDescent="0.25">
      <c r="E834" s="37"/>
      <c r="F834" s="38"/>
    </row>
    <row r="835" spans="5:6" x14ac:dyDescent="0.25">
      <c r="E835" s="37"/>
      <c r="F835" s="38"/>
    </row>
    <row r="836" spans="5:6" x14ac:dyDescent="0.25">
      <c r="E836" s="37"/>
      <c r="F836" s="38"/>
    </row>
    <row r="837" spans="5:6" x14ac:dyDescent="0.25">
      <c r="E837" s="37"/>
      <c r="F837" s="38"/>
    </row>
    <row r="838" spans="5:6" x14ac:dyDescent="0.25">
      <c r="E838" s="37"/>
      <c r="F838" s="38"/>
    </row>
    <row r="839" spans="5:6" x14ac:dyDescent="0.25">
      <c r="E839" s="37"/>
      <c r="F839" s="38"/>
    </row>
    <row r="840" spans="5:6" x14ac:dyDescent="0.25">
      <c r="E840" s="37"/>
      <c r="F840" s="38"/>
    </row>
    <row r="841" spans="5:6" x14ac:dyDescent="0.25">
      <c r="E841" s="37"/>
      <c r="F841" s="38"/>
    </row>
    <row r="842" spans="5:6" x14ac:dyDescent="0.25">
      <c r="E842" s="37"/>
      <c r="F842" s="38"/>
    </row>
    <row r="843" spans="5:6" x14ac:dyDescent="0.25">
      <c r="E843" s="37"/>
      <c r="F843" s="38"/>
    </row>
    <row r="844" spans="5:6" x14ac:dyDescent="0.25">
      <c r="E844" s="37"/>
      <c r="F844" s="38"/>
    </row>
    <row r="845" spans="5:6" x14ac:dyDescent="0.25">
      <c r="E845" s="37"/>
      <c r="F845" s="38"/>
    </row>
    <row r="846" spans="5:6" x14ac:dyDescent="0.25">
      <c r="E846" s="37"/>
      <c r="F846" s="38"/>
    </row>
    <row r="847" spans="5:6" x14ac:dyDescent="0.25">
      <c r="E847" s="37"/>
      <c r="F847" s="38"/>
    </row>
    <row r="848" spans="5:6" x14ac:dyDescent="0.25">
      <c r="E848" s="37"/>
      <c r="F848" s="38"/>
    </row>
    <row r="849" spans="5:6" x14ac:dyDescent="0.25">
      <c r="E849" s="37"/>
      <c r="F849" s="38"/>
    </row>
    <row r="850" spans="5:6" x14ac:dyDescent="0.25">
      <c r="E850" s="37"/>
      <c r="F850" s="38"/>
    </row>
    <row r="851" spans="5:6" x14ac:dyDescent="0.25">
      <c r="E851" s="37"/>
      <c r="F851" s="38"/>
    </row>
    <row r="852" spans="5:6" x14ac:dyDescent="0.25">
      <c r="E852" s="37"/>
      <c r="F852" s="38"/>
    </row>
    <row r="853" spans="5:6" x14ac:dyDescent="0.25">
      <c r="E853" s="37"/>
      <c r="F853" s="38"/>
    </row>
    <row r="854" spans="5:6" x14ac:dyDescent="0.25">
      <c r="E854" s="37"/>
      <c r="F854" s="38"/>
    </row>
    <row r="855" spans="5:6" x14ac:dyDescent="0.25">
      <c r="E855" s="37"/>
      <c r="F855" s="38"/>
    </row>
    <row r="856" spans="5:6" x14ac:dyDescent="0.25">
      <c r="E856" s="37"/>
      <c r="F856" s="38"/>
    </row>
    <row r="857" spans="5:6" x14ac:dyDescent="0.25">
      <c r="E857" s="37"/>
      <c r="F857" s="38"/>
    </row>
    <row r="858" spans="5:6" x14ac:dyDescent="0.25">
      <c r="E858" s="37"/>
      <c r="F858" s="38"/>
    </row>
    <row r="859" spans="5:6" x14ac:dyDescent="0.25">
      <c r="E859" s="37"/>
      <c r="F859" s="38"/>
    </row>
    <row r="860" spans="5:6" x14ac:dyDescent="0.25">
      <c r="E860" s="37"/>
      <c r="F860" s="38"/>
    </row>
    <row r="861" spans="5:6" x14ac:dyDescent="0.25">
      <c r="E861" s="37"/>
      <c r="F861" s="38"/>
    </row>
    <row r="862" spans="5:6" x14ac:dyDescent="0.25">
      <c r="E862" s="37"/>
      <c r="F862" s="38"/>
    </row>
    <row r="863" spans="5:6" x14ac:dyDescent="0.25">
      <c r="E863" s="37"/>
      <c r="F863" s="38"/>
    </row>
    <row r="864" spans="5:6" x14ac:dyDescent="0.25">
      <c r="E864" s="37"/>
      <c r="F864" s="38"/>
    </row>
    <row r="865" spans="5:6" x14ac:dyDescent="0.25">
      <c r="E865" s="37"/>
      <c r="F865" s="38"/>
    </row>
    <row r="866" spans="5:6" x14ac:dyDescent="0.25">
      <c r="E866" s="37"/>
      <c r="F866" s="38"/>
    </row>
    <row r="867" spans="5:6" x14ac:dyDescent="0.25">
      <c r="E867" s="37"/>
      <c r="F867" s="38"/>
    </row>
    <row r="868" spans="5:6" x14ac:dyDescent="0.25">
      <c r="E868" s="37"/>
      <c r="F868" s="38"/>
    </row>
    <row r="869" spans="5:6" x14ac:dyDescent="0.25">
      <c r="E869" s="37"/>
      <c r="F869" s="38"/>
    </row>
    <row r="870" spans="5:6" x14ac:dyDescent="0.25">
      <c r="E870" s="37"/>
      <c r="F870" s="38"/>
    </row>
    <row r="871" spans="5:6" x14ac:dyDescent="0.25">
      <c r="E871" s="37"/>
      <c r="F871" s="38"/>
    </row>
    <row r="872" spans="5:6" x14ac:dyDescent="0.25">
      <c r="E872" s="37"/>
      <c r="F872" s="38"/>
    </row>
    <row r="873" spans="5:6" x14ac:dyDescent="0.25">
      <c r="E873" s="37"/>
      <c r="F873" s="38"/>
    </row>
    <row r="874" spans="5:6" x14ac:dyDescent="0.25">
      <c r="E874" s="37"/>
      <c r="F874" s="38"/>
    </row>
    <row r="875" spans="5:6" x14ac:dyDescent="0.25">
      <c r="E875" s="37"/>
      <c r="F875" s="38"/>
    </row>
    <row r="876" spans="5:6" x14ac:dyDescent="0.25">
      <c r="E876" s="37"/>
      <c r="F876" s="38"/>
    </row>
    <row r="877" spans="5:6" x14ac:dyDescent="0.25">
      <c r="E877" s="37"/>
      <c r="F877" s="38"/>
    </row>
    <row r="878" spans="5:6" x14ac:dyDescent="0.25">
      <c r="E878" s="37"/>
      <c r="F878" s="38"/>
    </row>
    <row r="879" spans="5:6" x14ac:dyDescent="0.25">
      <c r="E879" s="37"/>
      <c r="F879" s="38"/>
    </row>
    <row r="880" spans="5:6" x14ac:dyDescent="0.25">
      <c r="E880" s="37"/>
      <c r="F880" s="38"/>
    </row>
    <row r="881" spans="5:6" x14ac:dyDescent="0.25">
      <c r="E881" s="37"/>
      <c r="F881" s="38"/>
    </row>
    <row r="882" spans="5:6" x14ac:dyDescent="0.25">
      <c r="E882" s="37"/>
      <c r="F882" s="38"/>
    </row>
    <row r="883" spans="5:6" x14ac:dyDescent="0.25">
      <c r="E883" s="37"/>
      <c r="F883" s="38"/>
    </row>
    <row r="884" spans="5:6" x14ac:dyDescent="0.25">
      <c r="E884" s="37"/>
      <c r="F884" s="38"/>
    </row>
    <row r="885" spans="5:6" x14ac:dyDescent="0.25">
      <c r="E885" s="37"/>
      <c r="F885" s="38"/>
    </row>
    <row r="886" spans="5:6" x14ac:dyDescent="0.25">
      <c r="E886" s="37"/>
      <c r="F886" s="38"/>
    </row>
    <row r="887" spans="5:6" x14ac:dyDescent="0.25">
      <c r="E887" s="37"/>
      <c r="F887" s="38"/>
    </row>
    <row r="888" spans="5:6" x14ac:dyDescent="0.25">
      <c r="E888" s="37"/>
      <c r="F888" s="38"/>
    </row>
    <row r="889" spans="5:6" x14ac:dyDescent="0.25">
      <c r="E889" s="37"/>
      <c r="F889" s="38"/>
    </row>
    <row r="890" spans="5:6" x14ac:dyDescent="0.25">
      <c r="E890" s="37"/>
      <c r="F890" s="38"/>
    </row>
    <row r="891" spans="5:6" x14ac:dyDescent="0.25">
      <c r="E891" s="37"/>
      <c r="F891" s="38"/>
    </row>
    <row r="892" spans="5:6" x14ac:dyDescent="0.25">
      <c r="E892" s="37"/>
      <c r="F892" s="38"/>
    </row>
    <row r="893" spans="5:6" x14ac:dyDescent="0.25">
      <c r="E893" s="37"/>
      <c r="F893" s="38"/>
    </row>
    <row r="894" spans="5:6" x14ac:dyDescent="0.25">
      <c r="E894" s="37"/>
      <c r="F894" s="38"/>
    </row>
    <row r="895" spans="5:6" x14ac:dyDescent="0.25">
      <c r="E895" s="37"/>
      <c r="F895" s="38"/>
    </row>
    <row r="896" spans="5:6" x14ac:dyDescent="0.25">
      <c r="E896" s="37"/>
      <c r="F896" s="38"/>
    </row>
    <row r="897" spans="5:6" x14ac:dyDescent="0.25">
      <c r="E897" s="37"/>
      <c r="F897" s="38"/>
    </row>
    <row r="898" spans="5:6" x14ac:dyDescent="0.25">
      <c r="E898" s="37"/>
      <c r="F898" s="38"/>
    </row>
    <row r="899" spans="5:6" x14ac:dyDescent="0.25">
      <c r="E899" s="37"/>
      <c r="F899" s="38"/>
    </row>
    <row r="900" spans="5:6" x14ac:dyDescent="0.25">
      <c r="E900" s="37"/>
      <c r="F900" s="38"/>
    </row>
    <row r="901" spans="5:6" x14ac:dyDescent="0.25">
      <c r="E901" s="37"/>
      <c r="F901" s="38"/>
    </row>
    <row r="902" spans="5:6" x14ac:dyDescent="0.25">
      <c r="E902" s="37"/>
      <c r="F902" s="38"/>
    </row>
    <row r="903" spans="5:6" x14ac:dyDescent="0.25">
      <c r="E903" s="37"/>
      <c r="F903" s="38"/>
    </row>
    <row r="904" spans="5:6" x14ac:dyDescent="0.25">
      <c r="E904" s="37"/>
      <c r="F904" s="38"/>
    </row>
    <row r="905" spans="5:6" x14ac:dyDescent="0.25">
      <c r="E905" s="37"/>
      <c r="F905" s="38"/>
    </row>
    <row r="906" spans="5:6" x14ac:dyDescent="0.25">
      <c r="E906" s="37"/>
      <c r="F906" s="38"/>
    </row>
    <row r="907" spans="5:6" x14ac:dyDescent="0.25">
      <c r="E907" s="37"/>
      <c r="F907" s="38"/>
    </row>
    <row r="908" spans="5:6" x14ac:dyDescent="0.25">
      <c r="E908" s="37"/>
      <c r="F908" s="38"/>
    </row>
    <row r="909" spans="5:6" x14ac:dyDescent="0.25">
      <c r="E909" s="37"/>
      <c r="F909" s="38"/>
    </row>
    <row r="910" spans="5:6" x14ac:dyDescent="0.25">
      <c r="E910" s="37"/>
      <c r="F910" s="38"/>
    </row>
    <row r="911" spans="5:6" x14ac:dyDescent="0.25">
      <c r="E911" s="37"/>
      <c r="F911" s="38"/>
    </row>
    <row r="912" spans="5:6" x14ac:dyDescent="0.25">
      <c r="E912" s="37"/>
      <c r="F912" s="38"/>
    </row>
    <row r="913" spans="5:6" x14ac:dyDescent="0.25">
      <c r="E913" s="37"/>
      <c r="F913" s="38"/>
    </row>
    <row r="914" spans="5:6" x14ac:dyDescent="0.25">
      <c r="E914" s="37"/>
      <c r="F914" s="38"/>
    </row>
    <row r="915" spans="5:6" x14ac:dyDescent="0.25">
      <c r="E915" s="37"/>
      <c r="F915" s="38"/>
    </row>
    <row r="916" spans="5:6" x14ac:dyDescent="0.25">
      <c r="E916" s="37"/>
      <c r="F916" s="38"/>
    </row>
    <row r="917" spans="5:6" x14ac:dyDescent="0.25">
      <c r="E917" s="37"/>
      <c r="F917" s="38"/>
    </row>
    <row r="918" spans="5:6" x14ac:dyDescent="0.25">
      <c r="E918" s="37"/>
      <c r="F918" s="38"/>
    </row>
    <row r="919" spans="5:6" x14ac:dyDescent="0.25">
      <c r="E919" s="37"/>
      <c r="F919" s="38"/>
    </row>
    <row r="920" spans="5:6" x14ac:dyDescent="0.25">
      <c r="E920" s="37"/>
      <c r="F920" s="38"/>
    </row>
    <row r="921" spans="5:6" x14ac:dyDescent="0.25">
      <c r="E921" s="37"/>
      <c r="F921" s="38"/>
    </row>
    <row r="922" spans="5:6" x14ac:dyDescent="0.25">
      <c r="E922" s="37"/>
      <c r="F922" s="38"/>
    </row>
    <row r="923" spans="5:6" x14ac:dyDescent="0.25">
      <c r="E923" s="37"/>
      <c r="F923" s="38"/>
    </row>
    <row r="924" spans="5:6" x14ac:dyDescent="0.25">
      <c r="E924" s="37"/>
      <c r="F924" s="38"/>
    </row>
    <row r="925" spans="5:6" x14ac:dyDescent="0.25">
      <c r="E925" s="37"/>
      <c r="F925" s="38"/>
    </row>
    <row r="926" spans="5:6" x14ac:dyDescent="0.25">
      <c r="E926" s="37"/>
      <c r="F926" s="38"/>
    </row>
    <row r="927" spans="5:6" x14ac:dyDescent="0.25">
      <c r="E927" s="37"/>
      <c r="F927" s="38"/>
    </row>
    <row r="928" spans="5:6" x14ac:dyDescent="0.25">
      <c r="E928" s="37"/>
      <c r="F928" s="38"/>
    </row>
    <row r="929" spans="5:6" x14ac:dyDescent="0.25">
      <c r="E929" s="37"/>
      <c r="F929" s="38"/>
    </row>
    <row r="930" spans="5:6" x14ac:dyDescent="0.25">
      <c r="E930" s="37"/>
      <c r="F930" s="38"/>
    </row>
    <row r="931" spans="5:6" x14ac:dyDescent="0.25">
      <c r="E931" s="37"/>
      <c r="F931" s="38"/>
    </row>
    <row r="932" spans="5:6" x14ac:dyDescent="0.25">
      <c r="E932" s="37"/>
      <c r="F932" s="38"/>
    </row>
    <row r="933" spans="5:6" x14ac:dyDescent="0.25">
      <c r="E933" s="37"/>
      <c r="F933" s="38"/>
    </row>
    <row r="934" spans="5:6" x14ac:dyDescent="0.25">
      <c r="E934" s="37"/>
      <c r="F934" s="38"/>
    </row>
    <row r="935" spans="5:6" x14ac:dyDescent="0.25">
      <c r="E935" s="37"/>
      <c r="F935" s="38"/>
    </row>
    <row r="936" spans="5:6" x14ac:dyDescent="0.25">
      <c r="E936" s="37"/>
      <c r="F936" s="38"/>
    </row>
    <row r="937" spans="5:6" x14ac:dyDescent="0.25">
      <c r="E937" s="37"/>
      <c r="F937" s="38"/>
    </row>
    <row r="938" spans="5:6" x14ac:dyDescent="0.25">
      <c r="E938" s="37"/>
      <c r="F938" s="38"/>
    </row>
    <row r="939" spans="5:6" x14ac:dyDescent="0.25">
      <c r="E939" s="37"/>
      <c r="F939" s="38"/>
    </row>
    <row r="940" spans="5:6" x14ac:dyDescent="0.25">
      <c r="E940" s="37"/>
      <c r="F940" s="38"/>
    </row>
    <row r="941" spans="5:6" x14ac:dyDescent="0.25">
      <c r="E941" s="37"/>
      <c r="F941" s="38"/>
    </row>
    <row r="942" spans="5:6" x14ac:dyDescent="0.25">
      <c r="E942" s="37"/>
      <c r="F942" s="38"/>
    </row>
    <row r="943" spans="5:6" x14ac:dyDescent="0.25">
      <c r="E943" s="37"/>
      <c r="F943" s="38"/>
    </row>
    <row r="944" spans="5:6" x14ac:dyDescent="0.25">
      <c r="E944" s="37"/>
      <c r="F944" s="38"/>
    </row>
    <row r="945" spans="5:6" x14ac:dyDescent="0.25">
      <c r="E945" s="37"/>
      <c r="F945" s="38"/>
    </row>
    <row r="946" spans="5:6" x14ac:dyDescent="0.25">
      <c r="E946" s="37"/>
      <c r="F946" s="38"/>
    </row>
    <row r="947" spans="5:6" x14ac:dyDescent="0.25">
      <c r="E947" s="37"/>
      <c r="F947" s="38"/>
    </row>
    <row r="948" spans="5:6" x14ac:dyDescent="0.25">
      <c r="E948" s="37"/>
      <c r="F948" s="38"/>
    </row>
    <row r="949" spans="5:6" x14ac:dyDescent="0.25">
      <c r="E949" s="37"/>
      <c r="F949" s="38"/>
    </row>
    <row r="950" spans="5:6" x14ac:dyDescent="0.25">
      <c r="E950" s="37"/>
      <c r="F950" s="38"/>
    </row>
    <row r="951" spans="5:6" x14ac:dyDescent="0.25">
      <c r="E951" s="37"/>
      <c r="F951" s="38"/>
    </row>
    <row r="952" spans="5:6" x14ac:dyDescent="0.25">
      <c r="E952" s="37"/>
      <c r="F952" s="38"/>
    </row>
    <row r="953" spans="5:6" x14ac:dyDescent="0.25">
      <c r="E953" s="37"/>
      <c r="F953" s="38"/>
    </row>
    <row r="954" spans="5:6" x14ac:dyDescent="0.25">
      <c r="E954" s="37"/>
      <c r="F954" s="38"/>
    </row>
    <row r="955" spans="5:6" x14ac:dyDescent="0.25">
      <c r="E955" s="37"/>
      <c r="F955" s="38"/>
    </row>
    <row r="956" spans="5:6" x14ac:dyDescent="0.25">
      <c r="E956" s="37"/>
      <c r="F956" s="38"/>
    </row>
    <row r="957" spans="5:6" x14ac:dyDescent="0.25">
      <c r="E957" s="37"/>
      <c r="F957" s="38"/>
    </row>
    <row r="958" spans="5:6" x14ac:dyDescent="0.25">
      <c r="E958" s="37"/>
      <c r="F958" s="38"/>
    </row>
    <row r="959" spans="5:6" x14ac:dyDescent="0.25">
      <c r="E959" s="37"/>
      <c r="F959" s="38"/>
    </row>
    <row r="960" spans="5:6" x14ac:dyDescent="0.25">
      <c r="E960" s="37"/>
      <c r="F960" s="38"/>
    </row>
    <row r="961" spans="5:6" x14ac:dyDescent="0.25">
      <c r="E961" s="37"/>
      <c r="F961" s="38"/>
    </row>
    <row r="962" spans="5:6" x14ac:dyDescent="0.25">
      <c r="E962" s="37"/>
      <c r="F962" s="38"/>
    </row>
    <row r="963" spans="5:6" x14ac:dyDescent="0.25">
      <c r="E963" s="37"/>
      <c r="F963" s="38"/>
    </row>
    <row r="964" spans="5:6" x14ac:dyDescent="0.25">
      <c r="E964" s="37"/>
      <c r="F964" s="38"/>
    </row>
    <row r="965" spans="5:6" x14ac:dyDescent="0.25">
      <c r="E965" s="37"/>
      <c r="F965" s="38"/>
    </row>
    <row r="966" spans="5:6" x14ac:dyDescent="0.25">
      <c r="E966" s="37"/>
      <c r="F966" s="38"/>
    </row>
    <row r="967" spans="5:6" x14ac:dyDescent="0.25">
      <c r="E967" s="37"/>
      <c r="F967" s="38"/>
    </row>
    <row r="968" spans="5:6" x14ac:dyDescent="0.25">
      <c r="E968" s="37"/>
      <c r="F968" s="38"/>
    </row>
    <row r="969" spans="5:6" x14ac:dyDescent="0.25">
      <c r="E969" s="37"/>
      <c r="F969" s="38"/>
    </row>
    <row r="970" spans="5:6" x14ac:dyDescent="0.25">
      <c r="E970" s="37"/>
      <c r="F970" s="38"/>
    </row>
    <row r="971" spans="5:6" x14ac:dyDescent="0.25">
      <c r="E971" s="37"/>
      <c r="F971" s="38"/>
    </row>
    <row r="972" spans="5:6" x14ac:dyDescent="0.25">
      <c r="E972" s="37"/>
      <c r="F972" s="38"/>
    </row>
    <row r="973" spans="5:6" x14ac:dyDescent="0.25">
      <c r="E973" s="37"/>
      <c r="F973" s="38"/>
    </row>
    <row r="974" spans="5:6" x14ac:dyDescent="0.25">
      <c r="E974" s="37"/>
      <c r="F974" s="38"/>
    </row>
    <row r="975" spans="5:6" x14ac:dyDescent="0.25">
      <c r="E975" s="37"/>
      <c r="F975" s="38"/>
    </row>
    <row r="976" spans="5:6" x14ac:dyDescent="0.25">
      <c r="E976" s="37"/>
      <c r="F976" s="38"/>
    </row>
    <row r="977" spans="5:6" x14ac:dyDescent="0.25">
      <c r="E977" s="37"/>
      <c r="F977" s="38"/>
    </row>
    <row r="978" spans="5:6" x14ac:dyDescent="0.25">
      <c r="E978" s="37"/>
      <c r="F978" s="38"/>
    </row>
    <row r="979" spans="5:6" x14ac:dyDescent="0.25">
      <c r="E979" s="37"/>
      <c r="F979" s="38"/>
    </row>
    <row r="980" spans="5:6" x14ac:dyDescent="0.25">
      <c r="E980" s="37"/>
      <c r="F980" s="38"/>
    </row>
    <row r="981" spans="5:6" x14ac:dyDescent="0.25">
      <c r="E981" s="37"/>
      <c r="F981" s="38"/>
    </row>
    <row r="982" spans="5:6" x14ac:dyDescent="0.25">
      <c r="E982" s="37"/>
      <c r="F982" s="38"/>
    </row>
    <row r="983" spans="5:6" x14ac:dyDescent="0.25">
      <c r="E983" s="37"/>
      <c r="F983" s="38"/>
    </row>
    <row r="984" spans="5:6" x14ac:dyDescent="0.25">
      <c r="E984" s="37"/>
      <c r="F984" s="38"/>
    </row>
    <row r="985" spans="5:6" x14ac:dyDescent="0.25">
      <c r="E985" s="37"/>
      <c r="F985" s="38"/>
    </row>
    <row r="986" spans="5:6" x14ac:dyDescent="0.25">
      <c r="E986" s="37"/>
      <c r="F986" s="38"/>
    </row>
    <row r="987" spans="5:6" x14ac:dyDescent="0.25">
      <c r="E987" s="37"/>
      <c r="F987" s="38"/>
    </row>
    <row r="988" spans="5:6" x14ac:dyDescent="0.25">
      <c r="E988" s="37"/>
      <c r="F988" s="38"/>
    </row>
    <row r="989" spans="5:6" x14ac:dyDescent="0.25">
      <c r="E989" s="37"/>
      <c r="F989" s="38"/>
    </row>
    <row r="990" spans="5:6" x14ac:dyDescent="0.25">
      <c r="E990" s="37"/>
      <c r="F990" s="38"/>
    </row>
    <row r="991" spans="5:6" x14ac:dyDescent="0.25">
      <c r="E991" s="37"/>
      <c r="F991" s="38"/>
    </row>
    <row r="992" spans="5:6" x14ac:dyDescent="0.25">
      <c r="E992" s="37"/>
      <c r="F992" s="38"/>
    </row>
    <row r="993" spans="5:6" x14ac:dyDescent="0.25">
      <c r="E993" s="37"/>
      <c r="F993" s="38"/>
    </row>
    <row r="994" spans="5:6" x14ac:dyDescent="0.25">
      <c r="E994" s="37"/>
      <c r="F994" s="38"/>
    </row>
    <row r="995" spans="5:6" x14ac:dyDescent="0.25">
      <c r="E995" s="37"/>
      <c r="F995" s="38"/>
    </row>
    <row r="996" spans="5:6" x14ac:dyDescent="0.25">
      <c r="E996" s="37"/>
      <c r="F996" s="38"/>
    </row>
    <row r="997" spans="5:6" x14ac:dyDescent="0.25">
      <c r="E997" s="37"/>
      <c r="F997" s="38"/>
    </row>
    <row r="998" spans="5:6" x14ac:dyDescent="0.25">
      <c r="E998" s="37"/>
      <c r="F998" s="38"/>
    </row>
    <row r="999" spans="5:6" x14ac:dyDescent="0.25">
      <c r="E999" s="37"/>
      <c r="F999" s="38"/>
    </row>
    <row r="1000" spans="5:6" x14ac:dyDescent="0.25">
      <c r="E1000" s="37"/>
      <c r="F1000" s="38"/>
    </row>
    <row r="1001" spans="5:6" x14ac:dyDescent="0.25">
      <c r="E1001" s="37"/>
      <c r="F1001" s="38"/>
    </row>
    <row r="1002" spans="5:6" x14ac:dyDescent="0.25">
      <c r="E1002" s="37"/>
      <c r="F1002" s="38"/>
    </row>
    <row r="1003" spans="5:6" x14ac:dyDescent="0.25">
      <c r="E1003" s="37"/>
      <c r="F1003" s="38"/>
    </row>
    <row r="1004" spans="5:6" x14ac:dyDescent="0.25">
      <c r="E1004" s="37"/>
      <c r="F1004" s="38"/>
    </row>
    <row r="1005" spans="5:6" x14ac:dyDescent="0.25">
      <c r="E1005" s="37"/>
      <c r="F1005" s="38"/>
    </row>
    <row r="1006" spans="5:6" x14ac:dyDescent="0.25">
      <c r="E1006" s="37"/>
      <c r="F1006" s="38"/>
    </row>
    <row r="1007" spans="5:6" x14ac:dyDescent="0.25">
      <c r="E1007" s="37"/>
      <c r="F1007" s="38"/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F44" r:id="rId44" xr:uid="{00000000-0004-0000-0100-00002B000000}"/>
    <hyperlink ref="E45" r:id="rId45" xr:uid="{00000000-0004-0000-0100-00002C000000}"/>
    <hyperlink ref="E46" r:id="rId46" xr:uid="{00000000-0004-0000-0100-00002D000000}"/>
    <hyperlink ref="E47" r:id="rId47" xr:uid="{00000000-0004-0000-0100-00002E000000}"/>
    <hyperlink ref="E48" r:id="rId48" xr:uid="{00000000-0004-0000-0100-00002F000000}"/>
    <hyperlink ref="E49" r:id="rId49" xr:uid="{00000000-0004-0000-0100-000030000000}"/>
    <hyperlink ref="E50" r:id="rId50" xr:uid="{00000000-0004-0000-0100-000031000000}"/>
    <hyperlink ref="E51" r:id="rId51" xr:uid="{00000000-0004-0000-0100-000032000000}"/>
    <hyperlink ref="E52" r:id="rId52" xr:uid="{00000000-0004-0000-0100-000033000000}"/>
    <hyperlink ref="E53" r:id="rId53" xr:uid="{00000000-0004-0000-0100-000034000000}"/>
    <hyperlink ref="E54" r:id="rId54" xr:uid="{00000000-0004-0000-0100-000035000000}"/>
    <hyperlink ref="E55" r:id="rId55" xr:uid="{00000000-0004-0000-0100-000036000000}"/>
    <hyperlink ref="E56" r:id="rId56" xr:uid="{00000000-0004-0000-0100-000037000000}"/>
    <hyperlink ref="E57" r:id="rId57" xr:uid="{00000000-0004-0000-0100-000038000000}"/>
    <hyperlink ref="E58" r:id="rId58" xr:uid="{00000000-0004-0000-0100-000039000000}"/>
    <hyperlink ref="E59" r:id="rId59" xr:uid="{00000000-0004-0000-0100-00003A000000}"/>
    <hyperlink ref="E60" r:id="rId60" xr:uid="{00000000-0004-0000-0100-00003B000000}"/>
    <hyperlink ref="E61" r:id="rId61" xr:uid="{00000000-0004-0000-0100-00003C000000}"/>
    <hyperlink ref="E62" r:id="rId62" xr:uid="{00000000-0004-0000-0100-00003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20"/>
  <sheetViews>
    <sheetView workbookViewId="0">
      <selection activeCell="D23" sqref="D23"/>
    </sheetView>
  </sheetViews>
  <sheetFormatPr defaultColWidth="12.6640625" defaultRowHeight="15.75" customHeight="1" x14ac:dyDescent="0.25"/>
  <cols>
    <col min="1" max="1" width="29.33203125" customWidth="1"/>
    <col min="2" max="3" width="15.88671875" customWidth="1"/>
    <col min="4" max="4" width="13.88671875" customWidth="1"/>
    <col min="5" max="5" width="20.33203125" customWidth="1"/>
    <col min="6" max="6" width="28.88671875" customWidth="1"/>
    <col min="7" max="7" width="24.77734375" customWidth="1"/>
    <col min="8" max="8" width="37" customWidth="1"/>
    <col min="9" max="9" width="24.44140625" customWidth="1"/>
  </cols>
  <sheetData>
    <row r="1" spans="1:26" x14ac:dyDescent="0.25">
      <c r="A1" s="39" t="s">
        <v>0</v>
      </c>
      <c r="B1" s="39" t="s">
        <v>101</v>
      </c>
      <c r="C1" s="40" t="s">
        <v>1</v>
      </c>
      <c r="D1" s="41" t="s">
        <v>2</v>
      </c>
      <c r="E1" s="41" t="s">
        <v>3</v>
      </c>
      <c r="F1" s="40" t="s">
        <v>4</v>
      </c>
      <c r="G1" s="39" t="s">
        <v>5</v>
      </c>
      <c r="H1" s="47"/>
      <c r="I1" s="48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x14ac:dyDescent="0.25">
      <c r="A2" s="21" t="s">
        <v>104</v>
      </c>
      <c r="B2" s="21" t="s">
        <v>102</v>
      </c>
      <c r="C2" s="21"/>
      <c r="D2" s="21"/>
      <c r="E2" s="21">
        <v>17453</v>
      </c>
      <c r="F2" s="22" t="s">
        <v>105</v>
      </c>
      <c r="G2" s="21" t="s">
        <v>106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x14ac:dyDescent="0.25">
      <c r="A3" s="21" t="s">
        <v>107</v>
      </c>
      <c r="B3" s="21" t="s">
        <v>102</v>
      </c>
      <c r="C3" s="21"/>
      <c r="D3" s="21"/>
      <c r="E3" s="21">
        <v>1084</v>
      </c>
      <c r="F3" s="22" t="s">
        <v>108</v>
      </c>
      <c r="G3" s="21" t="s">
        <v>109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x14ac:dyDescent="0.25">
      <c r="A4" s="21" t="s">
        <v>110</v>
      </c>
      <c r="B4" s="21" t="s">
        <v>102</v>
      </c>
      <c r="C4" s="21">
        <v>4</v>
      </c>
      <c r="D4" s="21">
        <v>1544</v>
      </c>
      <c r="E4" s="19">
        <f t="shared" ref="E4:E28" si="0">C4*D4</f>
        <v>6176</v>
      </c>
      <c r="F4" s="45" t="s">
        <v>111</v>
      </c>
      <c r="G4" s="19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x14ac:dyDescent="0.25">
      <c r="A5" s="21" t="s">
        <v>112</v>
      </c>
      <c r="B5" s="21" t="s">
        <v>102</v>
      </c>
      <c r="C5" s="21">
        <v>1</v>
      </c>
      <c r="D5" s="21">
        <v>921</v>
      </c>
      <c r="E5" s="19">
        <f t="shared" si="0"/>
        <v>921</v>
      </c>
      <c r="F5" s="22" t="s">
        <v>113</v>
      </c>
      <c r="G5" s="21" t="s">
        <v>114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x14ac:dyDescent="0.25">
      <c r="A6" s="21" t="s">
        <v>115</v>
      </c>
      <c r="B6" s="21" t="s">
        <v>103</v>
      </c>
      <c r="C6" s="21">
        <v>1</v>
      </c>
      <c r="D6" s="21">
        <v>88</v>
      </c>
      <c r="E6" s="19">
        <f t="shared" si="0"/>
        <v>88</v>
      </c>
      <c r="F6" s="22" t="s">
        <v>116</v>
      </c>
      <c r="G6" s="19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x14ac:dyDescent="0.25">
      <c r="A7" s="21" t="s">
        <v>117</v>
      </c>
      <c r="B7" s="21" t="s">
        <v>103</v>
      </c>
      <c r="C7" s="21">
        <v>1</v>
      </c>
      <c r="D7" s="21">
        <v>59</v>
      </c>
      <c r="E7" s="19">
        <f t="shared" si="0"/>
        <v>59</v>
      </c>
      <c r="F7" s="22" t="s">
        <v>118</v>
      </c>
      <c r="G7" s="19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x14ac:dyDescent="0.25">
      <c r="A8" s="21" t="s">
        <v>119</v>
      </c>
      <c r="B8" s="21" t="s">
        <v>103</v>
      </c>
      <c r="C8" s="21">
        <v>1</v>
      </c>
      <c r="D8" s="21">
        <v>133</v>
      </c>
      <c r="E8" s="19">
        <f t="shared" si="0"/>
        <v>133</v>
      </c>
      <c r="F8" s="45" t="s">
        <v>120</v>
      </c>
      <c r="G8" s="19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x14ac:dyDescent="0.25">
      <c r="A9" s="21" t="s">
        <v>121</v>
      </c>
      <c r="B9" s="21" t="s">
        <v>102</v>
      </c>
      <c r="C9" s="21">
        <v>1</v>
      </c>
      <c r="D9" s="21">
        <v>1083</v>
      </c>
      <c r="E9" s="19">
        <f t="shared" si="0"/>
        <v>1083</v>
      </c>
      <c r="F9" s="45" t="s">
        <v>122</v>
      </c>
      <c r="G9" s="19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x14ac:dyDescent="0.25">
      <c r="A10" s="21" t="s">
        <v>123</v>
      </c>
      <c r="B10" s="21" t="s">
        <v>102</v>
      </c>
      <c r="C10" s="21">
        <v>1</v>
      </c>
      <c r="D10" s="21">
        <v>955</v>
      </c>
      <c r="E10" s="19">
        <f t="shared" si="0"/>
        <v>955</v>
      </c>
      <c r="F10" s="22" t="s">
        <v>124</v>
      </c>
      <c r="G10" s="19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x14ac:dyDescent="0.25">
      <c r="A11" s="21" t="s">
        <v>125</v>
      </c>
      <c r="B11" s="21" t="s">
        <v>103</v>
      </c>
      <c r="C11" s="21">
        <v>1</v>
      </c>
      <c r="D11" s="21">
        <v>135</v>
      </c>
      <c r="E11" s="19">
        <f t="shared" si="0"/>
        <v>135</v>
      </c>
      <c r="F11" s="22" t="s">
        <v>126</v>
      </c>
      <c r="G11" s="19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x14ac:dyDescent="0.25">
      <c r="A12" s="21" t="s">
        <v>94</v>
      </c>
      <c r="B12" s="21" t="s">
        <v>103</v>
      </c>
      <c r="C12" s="21">
        <v>3</v>
      </c>
      <c r="D12" s="21">
        <v>236</v>
      </c>
      <c r="E12" s="19">
        <f t="shared" si="0"/>
        <v>708</v>
      </c>
      <c r="F12" s="45" t="s">
        <v>127</v>
      </c>
      <c r="G12" s="19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x14ac:dyDescent="0.25">
      <c r="A13" s="21" t="s">
        <v>128</v>
      </c>
      <c r="B13" s="21" t="s">
        <v>103</v>
      </c>
      <c r="C13" s="21">
        <v>1</v>
      </c>
      <c r="D13" s="21">
        <v>572</v>
      </c>
      <c r="E13" s="19">
        <f t="shared" si="0"/>
        <v>572</v>
      </c>
      <c r="F13" s="22" t="s">
        <v>129</v>
      </c>
      <c r="G13" s="21" t="s">
        <v>130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x14ac:dyDescent="0.25">
      <c r="A14" s="21" t="s">
        <v>131</v>
      </c>
      <c r="B14" s="21" t="s">
        <v>103</v>
      </c>
      <c r="C14" s="21">
        <v>1</v>
      </c>
      <c r="D14" s="21">
        <v>284</v>
      </c>
      <c r="E14" s="19">
        <f t="shared" si="0"/>
        <v>284</v>
      </c>
      <c r="F14" s="45" t="s">
        <v>132</v>
      </c>
      <c r="G14" s="19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x14ac:dyDescent="0.25">
      <c r="A15" s="21" t="s">
        <v>133</v>
      </c>
      <c r="B15" s="21" t="s">
        <v>103</v>
      </c>
      <c r="C15" s="21">
        <v>1</v>
      </c>
      <c r="D15" s="21">
        <v>1323</v>
      </c>
      <c r="E15" s="19">
        <f t="shared" si="0"/>
        <v>1323</v>
      </c>
      <c r="F15" s="22" t="s">
        <v>134</v>
      </c>
      <c r="G15" s="21" t="s">
        <v>114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x14ac:dyDescent="0.25">
      <c r="A16" s="51" t="s">
        <v>135</v>
      </c>
      <c r="B16" s="51" t="s">
        <v>102</v>
      </c>
      <c r="C16" s="51">
        <v>1</v>
      </c>
      <c r="D16" s="51">
        <v>9158.76</v>
      </c>
      <c r="E16" s="31">
        <f t="shared" si="0"/>
        <v>9158.76</v>
      </c>
      <c r="F16" s="52" t="s">
        <v>136</v>
      </c>
      <c r="G16" s="51" t="s">
        <v>137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x14ac:dyDescent="0.25">
      <c r="A17" s="21" t="s">
        <v>135</v>
      </c>
      <c r="B17" s="21" t="s">
        <v>102</v>
      </c>
      <c r="C17" s="21">
        <v>1</v>
      </c>
      <c r="D17" s="21">
        <v>11272</v>
      </c>
      <c r="E17" s="19">
        <f t="shared" si="0"/>
        <v>11272</v>
      </c>
      <c r="F17" s="22" t="s">
        <v>136</v>
      </c>
      <c r="G17" s="21" t="s">
        <v>138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x14ac:dyDescent="0.25">
      <c r="A18" s="21" t="s">
        <v>139</v>
      </c>
      <c r="B18" s="21" t="s">
        <v>102</v>
      </c>
      <c r="C18" s="21">
        <v>1</v>
      </c>
      <c r="D18" s="21">
        <v>726</v>
      </c>
      <c r="E18" s="19">
        <f t="shared" si="0"/>
        <v>726</v>
      </c>
      <c r="F18" s="45" t="s">
        <v>140</v>
      </c>
      <c r="G18" s="19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x14ac:dyDescent="0.25">
      <c r="A19" s="21" t="s">
        <v>141</v>
      </c>
      <c r="B19" s="21" t="s">
        <v>102</v>
      </c>
      <c r="C19" s="21">
        <v>1</v>
      </c>
      <c r="D19" s="21">
        <v>6634</v>
      </c>
      <c r="E19" s="19">
        <f t="shared" si="0"/>
        <v>6634</v>
      </c>
      <c r="F19" s="19"/>
      <c r="G19" s="21" t="s">
        <v>142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x14ac:dyDescent="0.25">
      <c r="A20" s="21" t="s">
        <v>143</v>
      </c>
      <c r="B20" s="21" t="s">
        <v>102</v>
      </c>
      <c r="C20" s="21">
        <v>1</v>
      </c>
      <c r="D20" s="21">
        <v>10351</v>
      </c>
      <c r="E20" s="19">
        <f t="shared" si="0"/>
        <v>10351</v>
      </c>
      <c r="F20" s="19"/>
      <c r="G20" s="21" t="s">
        <v>87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x14ac:dyDescent="0.25">
      <c r="A21" s="21" t="s">
        <v>144</v>
      </c>
      <c r="B21" s="21" t="s">
        <v>102</v>
      </c>
      <c r="C21" s="21">
        <v>1</v>
      </c>
      <c r="D21" s="21">
        <v>4580</v>
      </c>
      <c r="E21" s="19">
        <f t="shared" si="0"/>
        <v>4580</v>
      </c>
      <c r="F21" s="45" t="s">
        <v>145</v>
      </c>
      <c r="G21" s="21" t="s">
        <v>142</v>
      </c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x14ac:dyDescent="0.25">
      <c r="A22" s="53"/>
      <c r="B22" s="53"/>
      <c r="C22" s="53"/>
      <c r="D22" s="53"/>
      <c r="E22" s="35">
        <f t="shared" si="0"/>
        <v>0</v>
      </c>
      <c r="F22" s="35"/>
      <c r="G22" s="35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x14ac:dyDescent="0.25">
      <c r="A23" s="53"/>
      <c r="B23" s="53"/>
      <c r="C23" s="53"/>
      <c r="D23" s="53"/>
      <c r="E23" s="35">
        <f t="shared" si="0"/>
        <v>0</v>
      </c>
      <c r="F23" s="35"/>
      <c r="G23" s="35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x14ac:dyDescent="0.25">
      <c r="A24" s="53"/>
      <c r="B24" s="53"/>
      <c r="C24" s="53"/>
      <c r="D24" s="53"/>
      <c r="E24" s="35">
        <f t="shared" si="0"/>
        <v>0</v>
      </c>
      <c r="F24" s="35"/>
      <c r="G24" s="35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x14ac:dyDescent="0.25">
      <c r="A25" s="53"/>
      <c r="B25" s="53"/>
      <c r="C25" s="53"/>
      <c r="D25" s="53"/>
      <c r="E25" s="35">
        <f t="shared" si="0"/>
        <v>0</v>
      </c>
      <c r="F25" s="35"/>
      <c r="G25" s="35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x14ac:dyDescent="0.25">
      <c r="A26" s="53"/>
      <c r="B26" s="53"/>
      <c r="C26" s="53"/>
      <c r="D26" s="53"/>
      <c r="E26" s="35">
        <f t="shared" si="0"/>
        <v>0</v>
      </c>
      <c r="F26" s="35"/>
      <c r="G26" s="35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x14ac:dyDescent="0.25">
      <c r="A27" s="53"/>
      <c r="B27" s="53"/>
      <c r="C27" s="53"/>
      <c r="D27" s="53"/>
      <c r="E27" s="35">
        <f t="shared" si="0"/>
        <v>0</v>
      </c>
      <c r="F27" s="35"/>
      <c r="G27" s="35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x14ac:dyDescent="0.25">
      <c r="A28" s="53"/>
      <c r="B28" s="53"/>
      <c r="C28" s="53"/>
      <c r="D28" s="53"/>
      <c r="E28" s="35">
        <f t="shared" si="0"/>
        <v>0</v>
      </c>
      <c r="F28" s="35"/>
      <c r="G28" s="35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x14ac:dyDescent="0.25">
      <c r="A29" s="48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x14ac:dyDescent="0.25">
      <c r="A30" s="48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x14ac:dyDescent="0.25">
      <c r="A31" s="48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x14ac:dyDescent="0.25">
      <c r="A32" s="40" t="s">
        <v>146</v>
      </c>
      <c r="B32" s="54"/>
      <c r="C32" s="55" t="s">
        <v>147</v>
      </c>
      <c r="D32" s="54"/>
      <c r="E32" s="54"/>
      <c r="F32" s="54"/>
      <c r="G32" s="54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x14ac:dyDescent="0.25">
      <c r="A33" s="39" t="s">
        <v>0</v>
      </c>
      <c r="B33" s="56" t="s">
        <v>101</v>
      </c>
      <c r="C33" s="57" t="s">
        <v>1</v>
      </c>
      <c r="D33" s="58" t="s">
        <v>2</v>
      </c>
      <c r="E33" s="58" t="s">
        <v>3</v>
      </c>
      <c r="F33" s="57" t="s">
        <v>4</v>
      </c>
      <c r="G33" s="56" t="s">
        <v>5</v>
      </c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x14ac:dyDescent="0.25">
      <c r="A34" s="53" t="s">
        <v>148</v>
      </c>
      <c r="B34" s="53" t="s">
        <v>102</v>
      </c>
      <c r="C34" s="53">
        <v>2</v>
      </c>
      <c r="D34" s="53">
        <v>1200</v>
      </c>
      <c r="E34" s="35">
        <f t="shared" ref="E34:E43" si="1">C34*D34</f>
        <v>2400</v>
      </c>
      <c r="F34" s="59" t="s">
        <v>149</v>
      </c>
      <c r="G34" s="21" t="s">
        <v>150</v>
      </c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x14ac:dyDescent="0.25">
      <c r="A35" s="60" t="s">
        <v>151</v>
      </c>
      <c r="B35" s="60" t="s">
        <v>102</v>
      </c>
      <c r="C35" s="60">
        <v>1</v>
      </c>
      <c r="D35" s="60">
        <v>100</v>
      </c>
      <c r="E35" s="35">
        <f t="shared" si="1"/>
        <v>100</v>
      </c>
      <c r="F35" s="61" t="s">
        <v>152</v>
      </c>
      <c r="G35" s="21" t="s">
        <v>150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x14ac:dyDescent="0.25">
      <c r="A36" s="60" t="s">
        <v>80</v>
      </c>
      <c r="B36" s="60" t="s">
        <v>103</v>
      </c>
      <c r="C36" s="60">
        <v>10</v>
      </c>
      <c r="D36" s="60">
        <v>18</v>
      </c>
      <c r="E36" s="35">
        <f t="shared" si="1"/>
        <v>180</v>
      </c>
      <c r="F36" s="61" t="s">
        <v>153</v>
      </c>
      <c r="G36" s="21" t="s">
        <v>150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x14ac:dyDescent="0.25">
      <c r="A37" s="60" t="s">
        <v>154</v>
      </c>
      <c r="B37" s="60" t="s">
        <v>102</v>
      </c>
      <c r="C37" s="60">
        <v>1</v>
      </c>
      <c r="D37" s="60">
        <v>150</v>
      </c>
      <c r="E37" s="35">
        <f t="shared" si="1"/>
        <v>150</v>
      </c>
      <c r="F37" s="61" t="s">
        <v>155</v>
      </c>
      <c r="G37" s="21" t="s">
        <v>150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x14ac:dyDescent="0.25">
      <c r="A38" s="60" t="s">
        <v>156</v>
      </c>
      <c r="B38" s="60" t="s">
        <v>103</v>
      </c>
      <c r="C38" s="60">
        <v>5</v>
      </c>
      <c r="D38" s="60">
        <v>23</v>
      </c>
      <c r="E38" s="35">
        <f t="shared" si="1"/>
        <v>115</v>
      </c>
      <c r="F38" s="61" t="s">
        <v>157</v>
      </c>
      <c r="G38" s="21" t="s">
        <v>150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x14ac:dyDescent="0.25">
      <c r="A39" s="60" t="s">
        <v>158</v>
      </c>
      <c r="B39" s="60" t="s">
        <v>103</v>
      </c>
      <c r="C39" s="60"/>
      <c r="D39" s="60"/>
      <c r="E39" s="35">
        <f t="shared" si="1"/>
        <v>0</v>
      </c>
      <c r="F39" s="61" t="s">
        <v>159</v>
      </c>
      <c r="G39" s="21" t="s">
        <v>160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x14ac:dyDescent="0.25">
      <c r="A40" s="60" t="s">
        <v>161</v>
      </c>
      <c r="B40" s="60" t="s">
        <v>103</v>
      </c>
      <c r="C40" s="60"/>
      <c r="D40" s="60"/>
      <c r="E40" s="35">
        <f t="shared" si="1"/>
        <v>0</v>
      </c>
      <c r="F40" s="61" t="s">
        <v>162</v>
      </c>
      <c r="G40" s="22" t="s">
        <v>163</v>
      </c>
      <c r="H40" s="62" t="s">
        <v>164</v>
      </c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x14ac:dyDescent="0.25">
      <c r="A41" s="60" t="s">
        <v>12</v>
      </c>
      <c r="B41" s="60" t="s">
        <v>102</v>
      </c>
      <c r="C41" s="60">
        <v>6</v>
      </c>
      <c r="D41" s="60">
        <v>50</v>
      </c>
      <c r="E41" s="35">
        <f t="shared" si="1"/>
        <v>300</v>
      </c>
      <c r="F41" s="61" t="s">
        <v>165</v>
      </c>
      <c r="G41" s="21" t="s">
        <v>150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x14ac:dyDescent="0.25">
      <c r="A42" s="60" t="s">
        <v>12</v>
      </c>
      <c r="B42" s="60" t="s">
        <v>103</v>
      </c>
      <c r="C42" s="60">
        <v>1</v>
      </c>
      <c r="D42" s="60">
        <v>150</v>
      </c>
      <c r="E42" s="35">
        <f t="shared" si="1"/>
        <v>150</v>
      </c>
      <c r="F42" s="61" t="s">
        <v>166</v>
      </c>
      <c r="G42" s="21" t="s">
        <v>167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x14ac:dyDescent="0.25">
      <c r="A43" s="60" t="s">
        <v>14</v>
      </c>
      <c r="B43" s="60" t="s">
        <v>102</v>
      </c>
      <c r="C43" s="60">
        <v>2</v>
      </c>
      <c r="D43" s="60">
        <v>90</v>
      </c>
      <c r="E43" s="35">
        <f t="shared" si="1"/>
        <v>180</v>
      </c>
      <c r="F43" s="61" t="s">
        <v>168</v>
      </c>
      <c r="G43" s="21" t="s">
        <v>167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x14ac:dyDescent="0.25">
      <c r="A44" s="60" t="s">
        <v>169</v>
      </c>
      <c r="B44" s="60" t="s">
        <v>103</v>
      </c>
      <c r="C44" s="60">
        <v>1</v>
      </c>
      <c r="D44" s="60">
        <v>400</v>
      </c>
      <c r="E44" s="53">
        <v>400</v>
      </c>
      <c r="F44" s="61" t="s">
        <v>170</v>
      </c>
      <c r="G44" s="21" t="s">
        <v>171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x14ac:dyDescent="0.25">
      <c r="A45" s="63"/>
      <c r="B45" s="63"/>
      <c r="C45" s="63"/>
      <c r="D45" s="63"/>
      <c r="E45" s="63"/>
      <c r="F45" s="63"/>
      <c r="G45" s="63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x14ac:dyDescent="0.25">
      <c r="A46" s="64" t="s">
        <v>172</v>
      </c>
      <c r="B46" s="64">
        <v>3</v>
      </c>
      <c r="C46" s="64">
        <v>1200</v>
      </c>
      <c r="D46" s="65">
        <f t="shared" ref="D46:D81" si="2">B46*C46</f>
        <v>3600</v>
      </c>
      <c r="E46" s="66" t="s">
        <v>17</v>
      </c>
      <c r="F46" s="67"/>
      <c r="G46" s="6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x14ac:dyDescent="0.25">
      <c r="A47" s="68" t="s">
        <v>148</v>
      </c>
      <c r="B47" s="64">
        <v>3</v>
      </c>
      <c r="C47" s="64">
        <v>1700</v>
      </c>
      <c r="D47" s="65">
        <f t="shared" si="2"/>
        <v>5100</v>
      </c>
      <c r="E47" s="66" t="s">
        <v>17</v>
      </c>
      <c r="F47" s="67"/>
      <c r="G47" s="6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x14ac:dyDescent="0.25">
      <c r="A48" s="65" t="s">
        <v>151</v>
      </c>
      <c r="B48" s="65">
        <v>1</v>
      </c>
      <c r="C48" s="64">
        <v>370</v>
      </c>
      <c r="D48" s="69">
        <f t="shared" si="2"/>
        <v>370</v>
      </c>
      <c r="E48" s="59" t="s">
        <v>17</v>
      </c>
      <c r="F48" s="21" t="s">
        <v>48</v>
      </c>
      <c r="G48" s="6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x14ac:dyDescent="0.25">
      <c r="A49" s="53" t="s">
        <v>154</v>
      </c>
      <c r="B49" s="53">
        <v>1</v>
      </c>
      <c r="C49" s="53">
        <v>550</v>
      </c>
      <c r="D49" s="35">
        <f t="shared" si="2"/>
        <v>550</v>
      </c>
      <c r="E49" s="59" t="s">
        <v>17</v>
      </c>
      <c r="F49" s="21" t="s">
        <v>173</v>
      </c>
      <c r="G49" s="6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x14ac:dyDescent="0.25">
      <c r="A50" s="65" t="s">
        <v>80</v>
      </c>
      <c r="B50" s="64">
        <v>15</v>
      </c>
      <c r="C50" s="65">
        <v>18</v>
      </c>
      <c r="D50" s="69">
        <f t="shared" si="2"/>
        <v>270</v>
      </c>
      <c r="E50" s="66" t="s">
        <v>7</v>
      </c>
      <c r="F50" s="67"/>
      <c r="G50" s="6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x14ac:dyDescent="0.25">
      <c r="A51" s="68" t="s">
        <v>156</v>
      </c>
      <c r="B51" s="64">
        <v>10</v>
      </c>
      <c r="C51" s="68">
        <v>23</v>
      </c>
      <c r="D51" s="69">
        <f t="shared" si="2"/>
        <v>230</v>
      </c>
      <c r="E51" s="66" t="s">
        <v>7</v>
      </c>
      <c r="F51" s="67"/>
      <c r="G51" s="6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x14ac:dyDescent="0.25">
      <c r="A52" s="53" t="s">
        <v>6</v>
      </c>
      <c r="B52" s="53">
        <v>5</v>
      </c>
      <c r="C52" s="53">
        <v>12</v>
      </c>
      <c r="D52" s="35">
        <f t="shared" si="2"/>
        <v>60</v>
      </c>
      <c r="E52" s="59" t="s">
        <v>7</v>
      </c>
      <c r="F52" s="19"/>
      <c r="G52" s="6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x14ac:dyDescent="0.25">
      <c r="A53" s="60" t="s">
        <v>174</v>
      </c>
      <c r="B53" s="60">
        <v>1</v>
      </c>
      <c r="C53" s="60">
        <v>360</v>
      </c>
      <c r="D53" s="70">
        <f t="shared" si="2"/>
        <v>360</v>
      </c>
      <c r="E53" s="61" t="s">
        <v>17</v>
      </c>
      <c r="F53" s="21" t="s">
        <v>63</v>
      </c>
      <c r="G53" s="6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x14ac:dyDescent="0.25">
      <c r="A54" s="53" t="s">
        <v>175</v>
      </c>
      <c r="B54" s="53">
        <v>5</v>
      </c>
      <c r="C54" s="53">
        <v>11</v>
      </c>
      <c r="D54" s="35">
        <f t="shared" si="2"/>
        <v>55</v>
      </c>
      <c r="E54" s="59" t="s">
        <v>7</v>
      </c>
      <c r="F54" s="19"/>
      <c r="G54" s="6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x14ac:dyDescent="0.25">
      <c r="A55" s="53" t="s">
        <v>176</v>
      </c>
      <c r="B55" s="53">
        <v>5</v>
      </c>
      <c r="C55" s="53">
        <v>18</v>
      </c>
      <c r="D55" s="35">
        <f t="shared" si="2"/>
        <v>90</v>
      </c>
      <c r="E55" s="59" t="s">
        <v>7</v>
      </c>
      <c r="F55" s="19"/>
      <c r="G55" s="6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x14ac:dyDescent="0.25">
      <c r="A56" s="53" t="s">
        <v>177</v>
      </c>
      <c r="B56" s="53">
        <v>10</v>
      </c>
      <c r="C56" s="53">
        <v>10</v>
      </c>
      <c r="D56" s="35">
        <f t="shared" si="2"/>
        <v>100</v>
      </c>
      <c r="E56" s="59" t="s">
        <v>7</v>
      </c>
      <c r="F56" s="19"/>
      <c r="G56" s="6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x14ac:dyDescent="0.25">
      <c r="A57" s="53" t="s">
        <v>16</v>
      </c>
      <c r="B57" s="53">
        <v>2</v>
      </c>
      <c r="C57" s="53">
        <v>500</v>
      </c>
      <c r="D57" s="35">
        <f t="shared" si="2"/>
        <v>1000</v>
      </c>
      <c r="E57" s="59" t="s">
        <v>17</v>
      </c>
      <c r="F57" s="21" t="s">
        <v>178</v>
      </c>
      <c r="G57" s="6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x14ac:dyDescent="0.25">
      <c r="A58" s="53" t="s">
        <v>179</v>
      </c>
      <c r="B58" s="53">
        <v>2</v>
      </c>
      <c r="C58" s="53">
        <v>260</v>
      </c>
      <c r="D58" s="35">
        <f t="shared" si="2"/>
        <v>520</v>
      </c>
      <c r="E58" s="59" t="s">
        <v>17</v>
      </c>
      <c r="F58" s="19"/>
      <c r="G58" s="6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x14ac:dyDescent="0.25">
      <c r="A59" s="60" t="s">
        <v>20</v>
      </c>
      <c r="B59" s="60">
        <v>1</v>
      </c>
      <c r="C59" s="60">
        <v>180</v>
      </c>
      <c r="D59" s="70">
        <f t="shared" si="2"/>
        <v>180</v>
      </c>
      <c r="E59" s="61" t="s">
        <v>17</v>
      </c>
      <c r="F59" s="71" t="s">
        <v>180</v>
      </c>
      <c r="G59" s="6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x14ac:dyDescent="0.25">
      <c r="A60" s="60" t="s">
        <v>23</v>
      </c>
      <c r="B60" s="60">
        <v>1</v>
      </c>
      <c r="C60" s="60">
        <v>180</v>
      </c>
      <c r="D60" s="70">
        <f t="shared" si="2"/>
        <v>180</v>
      </c>
      <c r="E60" s="61" t="s">
        <v>17</v>
      </c>
      <c r="F60" s="21" t="s">
        <v>180</v>
      </c>
      <c r="G60" s="6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x14ac:dyDescent="0.25">
      <c r="A61" s="53" t="s">
        <v>181</v>
      </c>
      <c r="B61" s="53">
        <v>5</v>
      </c>
      <c r="C61" s="53">
        <v>70</v>
      </c>
      <c r="D61" s="35">
        <f t="shared" si="2"/>
        <v>350</v>
      </c>
      <c r="E61" s="59" t="s">
        <v>7</v>
      </c>
      <c r="F61" s="19"/>
      <c r="G61" s="6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x14ac:dyDescent="0.25">
      <c r="A62" s="53" t="s">
        <v>182</v>
      </c>
      <c r="B62" s="53">
        <v>2</v>
      </c>
      <c r="C62" s="53">
        <v>115</v>
      </c>
      <c r="D62" s="35">
        <f t="shared" si="2"/>
        <v>230</v>
      </c>
      <c r="E62" s="59" t="s">
        <v>17</v>
      </c>
      <c r="F62" s="21" t="s">
        <v>183</v>
      </c>
      <c r="G62" s="6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x14ac:dyDescent="0.25">
      <c r="A63" s="53" t="s">
        <v>184</v>
      </c>
      <c r="B63" s="53">
        <v>1</v>
      </c>
      <c r="C63" s="53">
        <v>250</v>
      </c>
      <c r="D63" s="35">
        <f t="shared" si="2"/>
        <v>250</v>
      </c>
      <c r="E63" s="59" t="s">
        <v>17</v>
      </c>
      <c r="F63" s="19"/>
      <c r="G63" s="6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x14ac:dyDescent="0.25">
      <c r="A64" s="53" t="s">
        <v>185</v>
      </c>
      <c r="B64" s="53">
        <v>1</v>
      </c>
      <c r="C64" s="53">
        <v>200</v>
      </c>
      <c r="D64" s="35">
        <f t="shared" si="2"/>
        <v>200</v>
      </c>
      <c r="E64" s="59" t="s">
        <v>17</v>
      </c>
      <c r="F64" s="19"/>
      <c r="G64" s="6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x14ac:dyDescent="0.25">
      <c r="A65" s="53" t="s">
        <v>186</v>
      </c>
      <c r="B65" s="53">
        <v>1</v>
      </c>
      <c r="C65" s="53">
        <v>170</v>
      </c>
      <c r="D65" s="35">
        <f t="shared" si="2"/>
        <v>170</v>
      </c>
      <c r="E65" s="59" t="s">
        <v>17</v>
      </c>
      <c r="F65" s="19"/>
      <c r="G65" s="6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x14ac:dyDescent="0.25">
      <c r="A66" s="53" t="s">
        <v>187</v>
      </c>
      <c r="B66" s="53">
        <v>2</v>
      </c>
      <c r="C66" s="53">
        <v>530</v>
      </c>
      <c r="D66" s="35">
        <f t="shared" si="2"/>
        <v>1060</v>
      </c>
      <c r="E66" s="59" t="s">
        <v>17</v>
      </c>
      <c r="F66" s="21" t="s">
        <v>188</v>
      </c>
      <c r="G66" s="6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x14ac:dyDescent="0.25">
      <c r="A67" s="53" t="s">
        <v>189</v>
      </c>
      <c r="B67" s="53">
        <v>3</v>
      </c>
      <c r="C67" s="53">
        <v>260</v>
      </c>
      <c r="D67" s="35">
        <f t="shared" si="2"/>
        <v>780</v>
      </c>
      <c r="E67" s="59" t="s">
        <v>7</v>
      </c>
      <c r="F67" s="19"/>
      <c r="G67" s="6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x14ac:dyDescent="0.25">
      <c r="A68" s="53" t="s">
        <v>190</v>
      </c>
      <c r="B68" s="53">
        <v>1</v>
      </c>
      <c r="C68" s="53">
        <v>680</v>
      </c>
      <c r="D68" s="35">
        <f t="shared" si="2"/>
        <v>680</v>
      </c>
      <c r="E68" s="59" t="s">
        <v>17</v>
      </c>
      <c r="F68" s="21" t="s">
        <v>55</v>
      </c>
      <c r="G68" s="6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x14ac:dyDescent="0.25">
      <c r="A69" s="60" t="s">
        <v>191</v>
      </c>
      <c r="B69" s="60">
        <v>1</v>
      </c>
      <c r="C69" s="60">
        <v>330</v>
      </c>
      <c r="D69" s="70">
        <f t="shared" si="2"/>
        <v>330</v>
      </c>
      <c r="E69" s="61" t="s">
        <v>17</v>
      </c>
      <c r="F69" s="21" t="s">
        <v>55</v>
      </c>
      <c r="G69" s="6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x14ac:dyDescent="0.25">
      <c r="A70" s="53" t="s">
        <v>192</v>
      </c>
      <c r="B70" s="53">
        <v>1</v>
      </c>
      <c r="C70" s="53">
        <v>270</v>
      </c>
      <c r="D70" s="35">
        <f t="shared" si="2"/>
        <v>270</v>
      </c>
      <c r="E70" s="59" t="s">
        <v>17</v>
      </c>
      <c r="F70" s="21" t="s">
        <v>193</v>
      </c>
      <c r="G70" s="6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x14ac:dyDescent="0.25">
      <c r="A71" s="53" t="s">
        <v>194</v>
      </c>
      <c r="B71" s="53">
        <v>1</v>
      </c>
      <c r="C71" s="53">
        <v>300</v>
      </c>
      <c r="D71" s="35">
        <f t="shared" si="2"/>
        <v>300</v>
      </c>
      <c r="E71" s="59" t="s">
        <v>17</v>
      </c>
      <c r="F71" s="21" t="s">
        <v>195</v>
      </c>
      <c r="G71" s="6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x14ac:dyDescent="0.25">
      <c r="A72" s="53" t="s">
        <v>196</v>
      </c>
      <c r="B72" s="53">
        <v>1</v>
      </c>
      <c r="C72" s="53">
        <v>200</v>
      </c>
      <c r="D72" s="35">
        <f t="shared" si="2"/>
        <v>200</v>
      </c>
      <c r="E72" s="59" t="s">
        <v>17</v>
      </c>
      <c r="F72" s="21" t="s">
        <v>63</v>
      </c>
      <c r="G72" s="6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x14ac:dyDescent="0.25">
      <c r="A73" s="53" t="s">
        <v>197</v>
      </c>
      <c r="B73" s="53">
        <v>5</v>
      </c>
      <c r="C73" s="53">
        <v>35</v>
      </c>
      <c r="D73" s="35">
        <f t="shared" si="2"/>
        <v>175</v>
      </c>
      <c r="E73" s="59" t="s">
        <v>7</v>
      </c>
      <c r="F73" s="21"/>
      <c r="G73" s="6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x14ac:dyDescent="0.25">
      <c r="A74" s="53" t="s">
        <v>198</v>
      </c>
      <c r="B74" s="53">
        <v>5</v>
      </c>
      <c r="C74" s="53">
        <v>30</v>
      </c>
      <c r="D74" s="35">
        <f t="shared" si="2"/>
        <v>150</v>
      </c>
      <c r="E74" s="59" t="s">
        <v>7</v>
      </c>
      <c r="F74" s="21"/>
      <c r="G74" s="6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x14ac:dyDescent="0.25">
      <c r="A75" s="53" t="s">
        <v>199</v>
      </c>
      <c r="B75" s="53">
        <v>5</v>
      </c>
      <c r="C75" s="53">
        <v>30</v>
      </c>
      <c r="D75" s="35">
        <f t="shared" si="2"/>
        <v>150</v>
      </c>
      <c r="E75" s="59" t="s">
        <v>7</v>
      </c>
      <c r="F75" s="21"/>
      <c r="G75" s="6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x14ac:dyDescent="0.25">
      <c r="A76" s="53" t="s">
        <v>200</v>
      </c>
      <c r="B76" s="53">
        <v>2</v>
      </c>
      <c r="C76" s="53">
        <v>350</v>
      </c>
      <c r="D76" s="35">
        <f t="shared" si="2"/>
        <v>700</v>
      </c>
      <c r="E76" s="59" t="s">
        <v>17</v>
      </c>
      <c r="F76" s="21"/>
      <c r="G76" s="6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x14ac:dyDescent="0.25">
      <c r="A77" s="60" t="s">
        <v>201</v>
      </c>
      <c r="B77" s="60">
        <v>1</v>
      </c>
      <c r="C77" s="60">
        <v>200</v>
      </c>
      <c r="D77" s="70">
        <f t="shared" si="2"/>
        <v>200</v>
      </c>
      <c r="E77" s="61" t="s">
        <v>17</v>
      </c>
      <c r="F77" s="21" t="s">
        <v>63</v>
      </c>
      <c r="G77" s="6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x14ac:dyDescent="0.25">
      <c r="A78" s="60" t="s">
        <v>25</v>
      </c>
      <c r="B78" s="60">
        <v>1</v>
      </c>
      <c r="C78" s="60">
        <v>450</v>
      </c>
      <c r="D78" s="70">
        <f t="shared" si="2"/>
        <v>450</v>
      </c>
      <c r="E78" s="61" t="s">
        <v>9</v>
      </c>
      <c r="F78" s="21" t="s">
        <v>202</v>
      </c>
      <c r="G78" s="6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x14ac:dyDescent="0.25">
      <c r="A79" s="60" t="s">
        <v>203</v>
      </c>
      <c r="B79" s="60">
        <v>5</v>
      </c>
      <c r="C79" s="60">
        <v>350</v>
      </c>
      <c r="D79" s="70">
        <f t="shared" si="2"/>
        <v>1750</v>
      </c>
      <c r="E79" s="61" t="s">
        <v>17</v>
      </c>
      <c r="F79" s="21" t="s">
        <v>204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x14ac:dyDescent="0.25">
      <c r="A80" s="60" t="s">
        <v>205</v>
      </c>
      <c r="B80" s="60">
        <v>1</v>
      </c>
      <c r="C80" s="60">
        <v>430</v>
      </c>
      <c r="D80" s="70">
        <f t="shared" si="2"/>
        <v>430</v>
      </c>
      <c r="E80" s="61" t="s">
        <v>17</v>
      </c>
      <c r="F80" s="21" t="s">
        <v>202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x14ac:dyDescent="0.25">
      <c r="A81" s="60" t="s">
        <v>35</v>
      </c>
      <c r="B81" s="60">
        <v>2</v>
      </c>
      <c r="C81" s="60">
        <v>271</v>
      </c>
      <c r="D81" s="70">
        <f t="shared" si="2"/>
        <v>542</v>
      </c>
      <c r="E81" s="61" t="s">
        <v>17</v>
      </c>
      <c r="F81" s="21" t="s">
        <v>193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x14ac:dyDescent="0.25">
      <c r="A82" s="60" t="s">
        <v>8</v>
      </c>
      <c r="B82" s="64">
        <v>1</v>
      </c>
      <c r="C82" s="64">
        <v>430</v>
      </c>
      <c r="D82" s="64">
        <v>430</v>
      </c>
      <c r="E82" s="66" t="s">
        <v>9</v>
      </c>
      <c r="F82" s="21" t="s">
        <v>193</v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x14ac:dyDescent="0.25">
      <c r="A83" s="60" t="s">
        <v>11</v>
      </c>
      <c r="B83" s="64">
        <v>1</v>
      </c>
      <c r="C83" s="64">
        <v>400</v>
      </c>
      <c r="D83" s="64">
        <v>400</v>
      </c>
      <c r="E83" s="66" t="s">
        <v>9</v>
      </c>
      <c r="F83" s="21" t="s">
        <v>193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x14ac:dyDescent="0.25">
      <c r="A84" s="60" t="s">
        <v>30</v>
      </c>
      <c r="B84" s="60">
        <v>1</v>
      </c>
      <c r="C84" s="60">
        <v>380</v>
      </c>
      <c r="D84" s="70">
        <f t="shared" ref="D84:D110" si="3">B84*C84</f>
        <v>380</v>
      </c>
      <c r="E84" s="61" t="s">
        <v>31</v>
      </c>
      <c r="F84" s="21" t="s">
        <v>193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x14ac:dyDescent="0.25">
      <c r="A85" s="60" t="s">
        <v>33</v>
      </c>
      <c r="B85" s="60">
        <v>1</v>
      </c>
      <c r="C85" s="60">
        <v>700</v>
      </c>
      <c r="D85" s="70">
        <f t="shared" si="3"/>
        <v>700</v>
      </c>
      <c r="E85" s="61" t="s">
        <v>9</v>
      </c>
      <c r="F85" s="21" t="s">
        <v>193</v>
      </c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x14ac:dyDescent="0.25">
      <c r="A86" s="60" t="s">
        <v>206</v>
      </c>
      <c r="B86" s="60">
        <v>5</v>
      </c>
      <c r="C86" s="60">
        <v>120</v>
      </c>
      <c r="D86" s="70">
        <f t="shared" si="3"/>
        <v>600</v>
      </c>
      <c r="E86" s="61" t="s">
        <v>9</v>
      </c>
      <c r="F86" s="21" t="s">
        <v>167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x14ac:dyDescent="0.25">
      <c r="A87" s="53" t="s">
        <v>37</v>
      </c>
      <c r="B87" s="64">
        <v>3</v>
      </c>
      <c r="C87" s="64">
        <v>33</v>
      </c>
      <c r="D87" s="70">
        <f t="shared" si="3"/>
        <v>99</v>
      </c>
      <c r="E87" s="66" t="s">
        <v>38</v>
      </c>
      <c r="F87" s="21" t="s">
        <v>167</v>
      </c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x14ac:dyDescent="0.25">
      <c r="A88" s="64" t="s">
        <v>40</v>
      </c>
      <c r="B88" s="64">
        <v>3</v>
      </c>
      <c r="C88" s="64">
        <v>7</v>
      </c>
      <c r="D88" s="70">
        <f t="shared" si="3"/>
        <v>21</v>
      </c>
      <c r="E88" s="66" t="s">
        <v>38</v>
      </c>
      <c r="F88" s="21" t="s">
        <v>167</v>
      </c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x14ac:dyDescent="0.25">
      <c r="A89" s="64" t="s">
        <v>41</v>
      </c>
      <c r="B89" s="64">
        <v>3</v>
      </c>
      <c r="C89" s="64">
        <v>8</v>
      </c>
      <c r="D89" s="70">
        <f t="shared" si="3"/>
        <v>24</v>
      </c>
      <c r="E89" s="66" t="s">
        <v>38</v>
      </c>
      <c r="F89" s="21" t="s">
        <v>167</v>
      </c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x14ac:dyDescent="0.25">
      <c r="A90" s="64" t="s">
        <v>42</v>
      </c>
      <c r="B90" s="64">
        <v>3</v>
      </c>
      <c r="C90" s="64">
        <v>8</v>
      </c>
      <c r="D90" s="70">
        <f t="shared" si="3"/>
        <v>24</v>
      </c>
      <c r="E90" s="66" t="s">
        <v>38</v>
      </c>
      <c r="F90" s="21" t="s">
        <v>167</v>
      </c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x14ac:dyDescent="0.25">
      <c r="A91" s="64" t="s">
        <v>43</v>
      </c>
      <c r="B91" s="64">
        <v>3</v>
      </c>
      <c r="C91" s="64">
        <v>7</v>
      </c>
      <c r="D91" s="70">
        <f t="shared" si="3"/>
        <v>21</v>
      </c>
      <c r="E91" s="66" t="s">
        <v>38</v>
      </c>
      <c r="F91" s="21" t="s">
        <v>167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x14ac:dyDescent="0.25">
      <c r="A92" s="64" t="s">
        <v>44</v>
      </c>
      <c r="B92" s="64">
        <v>3</v>
      </c>
      <c r="C92" s="64">
        <v>8</v>
      </c>
      <c r="D92" s="70">
        <f t="shared" si="3"/>
        <v>24</v>
      </c>
      <c r="E92" s="66" t="s">
        <v>38</v>
      </c>
      <c r="F92" s="21" t="s">
        <v>167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x14ac:dyDescent="0.25">
      <c r="A93" s="64" t="s">
        <v>45</v>
      </c>
      <c r="B93" s="64">
        <v>3</v>
      </c>
      <c r="C93" s="64">
        <v>8</v>
      </c>
      <c r="D93" s="70">
        <f t="shared" si="3"/>
        <v>24</v>
      </c>
      <c r="E93" s="66" t="s">
        <v>38</v>
      </c>
      <c r="F93" s="21" t="s">
        <v>167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x14ac:dyDescent="0.25">
      <c r="A94" s="64" t="s">
        <v>46</v>
      </c>
      <c r="B94" s="64">
        <v>3</v>
      </c>
      <c r="C94" s="64">
        <v>140</v>
      </c>
      <c r="D94" s="70">
        <f t="shared" si="3"/>
        <v>420</v>
      </c>
      <c r="E94" s="66" t="s">
        <v>7</v>
      </c>
      <c r="F94" s="21" t="s">
        <v>167</v>
      </c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x14ac:dyDescent="0.25">
      <c r="A95" s="64" t="s">
        <v>207</v>
      </c>
      <c r="B95" s="64">
        <v>1</v>
      </c>
      <c r="C95" s="64">
        <v>60</v>
      </c>
      <c r="D95" s="70">
        <f t="shared" si="3"/>
        <v>60</v>
      </c>
      <c r="E95" s="66" t="s">
        <v>9</v>
      </c>
      <c r="F95" s="24" t="s">
        <v>178</v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x14ac:dyDescent="0.25">
      <c r="A96" s="64" t="s">
        <v>47</v>
      </c>
      <c r="B96" s="64">
        <v>1</v>
      </c>
      <c r="C96" s="64">
        <v>100</v>
      </c>
      <c r="D96" s="70">
        <f t="shared" si="3"/>
        <v>100</v>
      </c>
      <c r="E96" s="66" t="s">
        <v>9</v>
      </c>
      <c r="F96" s="24" t="s">
        <v>208</v>
      </c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x14ac:dyDescent="0.25">
      <c r="A97" s="64" t="s">
        <v>209</v>
      </c>
      <c r="B97" s="64">
        <v>1</v>
      </c>
      <c r="C97" s="64">
        <v>103</v>
      </c>
      <c r="D97" s="70">
        <f t="shared" si="3"/>
        <v>103</v>
      </c>
      <c r="E97" s="66" t="s">
        <v>9</v>
      </c>
      <c r="F97" s="24" t="s">
        <v>178</v>
      </c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x14ac:dyDescent="0.25">
      <c r="A98" s="64" t="s">
        <v>50</v>
      </c>
      <c r="B98" s="64">
        <v>2</v>
      </c>
      <c r="C98" s="64">
        <v>100</v>
      </c>
      <c r="D98" s="70">
        <f t="shared" si="3"/>
        <v>200</v>
      </c>
      <c r="E98" s="66" t="s">
        <v>9</v>
      </c>
      <c r="F98" s="24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x14ac:dyDescent="0.25">
      <c r="A99" s="64" t="s">
        <v>51</v>
      </c>
      <c r="B99" s="64">
        <v>2</v>
      </c>
      <c r="C99" s="64">
        <v>150</v>
      </c>
      <c r="D99" s="70">
        <f t="shared" si="3"/>
        <v>300</v>
      </c>
      <c r="E99" s="66" t="s">
        <v>9</v>
      </c>
      <c r="F99" s="24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x14ac:dyDescent="0.25">
      <c r="A100" s="64" t="s">
        <v>52</v>
      </c>
      <c r="B100" s="64">
        <v>2</v>
      </c>
      <c r="C100" s="64">
        <v>150</v>
      </c>
      <c r="D100" s="70">
        <f t="shared" si="3"/>
        <v>300</v>
      </c>
      <c r="E100" s="66" t="s">
        <v>9</v>
      </c>
      <c r="F100" s="24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x14ac:dyDescent="0.25">
      <c r="A101" s="64" t="s">
        <v>53</v>
      </c>
      <c r="B101" s="64">
        <v>1</v>
      </c>
      <c r="C101" s="64">
        <v>70</v>
      </c>
      <c r="D101" s="70">
        <f t="shared" si="3"/>
        <v>70</v>
      </c>
      <c r="E101" s="66" t="s">
        <v>9</v>
      </c>
      <c r="F101" s="24" t="s">
        <v>210</v>
      </c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x14ac:dyDescent="0.25">
      <c r="A102" s="64" t="s">
        <v>58</v>
      </c>
      <c r="B102" s="64">
        <v>2</v>
      </c>
      <c r="C102" s="64">
        <v>65</v>
      </c>
      <c r="D102" s="70">
        <f t="shared" si="3"/>
        <v>130</v>
      </c>
      <c r="E102" s="66" t="s">
        <v>38</v>
      </c>
      <c r="F102" s="24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x14ac:dyDescent="0.25">
      <c r="A103" s="64" t="s">
        <v>54</v>
      </c>
      <c r="B103" s="64">
        <v>1</v>
      </c>
      <c r="C103" s="64">
        <v>300</v>
      </c>
      <c r="D103" s="70">
        <f t="shared" si="3"/>
        <v>300</v>
      </c>
      <c r="E103" s="66" t="s">
        <v>9</v>
      </c>
      <c r="F103" s="24" t="s">
        <v>211</v>
      </c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x14ac:dyDescent="0.25">
      <c r="A104" s="64" t="s">
        <v>56</v>
      </c>
      <c r="B104" s="64">
        <v>10</v>
      </c>
      <c r="C104" s="64">
        <v>5</v>
      </c>
      <c r="D104" s="70">
        <f t="shared" si="3"/>
        <v>50</v>
      </c>
      <c r="E104" s="72" t="s">
        <v>38</v>
      </c>
      <c r="F104" s="24" t="s">
        <v>57</v>
      </c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x14ac:dyDescent="0.25">
      <c r="A105" s="64" t="s">
        <v>58</v>
      </c>
      <c r="B105" s="64">
        <v>2</v>
      </c>
      <c r="C105" s="64">
        <v>65</v>
      </c>
      <c r="D105" s="70">
        <f t="shared" si="3"/>
        <v>130</v>
      </c>
      <c r="E105" s="72" t="s">
        <v>38</v>
      </c>
      <c r="F105" s="24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x14ac:dyDescent="0.25">
      <c r="A106" s="64" t="s">
        <v>59</v>
      </c>
      <c r="B106" s="64">
        <v>5</v>
      </c>
      <c r="C106" s="64">
        <v>20</v>
      </c>
      <c r="D106" s="70">
        <f t="shared" si="3"/>
        <v>100</v>
      </c>
      <c r="E106" s="72" t="s">
        <v>38</v>
      </c>
      <c r="F106" s="24" t="s">
        <v>57</v>
      </c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x14ac:dyDescent="0.25">
      <c r="A107" s="64" t="s">
        <v>60</v>
      </c>
      <c r="B107" s="64">
        <v>2</v>
      </c>
      <c r="C107" s="64">
        <v>43</v>
      </c>
      <c r="D107" s="70">
        <f t="shared" si="3"/>
        <v>86</v>
      </c>
      <c r="E107" s="72" t="s">
        <v>38</v>
      </c>
      <c r="F107" s="24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x14ac:dyDescent="0.25">
      <c r="A108" s="64" t="s">
        <v>61</v>
      </c>
      <c r="B108" s="64">
        <v>2</v>
      </c>
      <c r="C108" s="64">
        <v>26</v>
      </c>
      <c r="D108" s="70">
        <f t="shared" si="3"/>
        <v>52</v>
      </c>
      <c r="E108" s="72" t="s">
        <v>38</v>
      </c>
      <c r="F108" s="24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x14ac:dyDescent="0.25">
      <c r="A109" s="64" t="s">
        <v>212</v>
      </c>
      <c r="B109" s="64">
        <v>2</v>
      </c>
      <c r="C109" s="64">
        <v>75</v>
      </c>
      <c r="D109" s="70">
        <f t="shared" si="3"/>
        <v>150</v>
      </c>
      <c r="E109" s="72" t="s">
        <v>38</v>
      </c>
      <c r="F109" s="24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x14ac:dyDescent="0.25">
      <c r="A110" s="64" t="s">
        <v>62</v>
      </c>
      <c r="B110" s="64">
        <v>1</v>
      </c>
      <c r="C110" s="64">
        <v>100</v>
      </c>
      <c r="D110" s="70">
        <f t="shared" si="3"/>
        <v>100</v>
      </c>
      <c r="E110" s="72" t="s">
        <v>9</v>
      </c>
      <c r="F110" s="24" t="s">
        <v>63</v>
      </c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x14ac:dyDescent="0.2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x14ac:dyDescent="0.2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x14ac:dyDescent="0.2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x14ac:dyDescent="0.2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x14ac:dyDescent="0.2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x14ac:dyDescent="0.2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x14ac:dyDescent="0.2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x14ac:dyDescent="0.2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x14ac:dyDescent="0.2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x14ac:dyDescent="0.2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x14ac:dyDescent="0.2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x14ac:dyDescent="0.2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x14ac:dyDescent="0.2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x14ac:dyDescent="0.2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x14ac:dyDescent="0.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x14ac:dyDescent="0.2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x14ac:dyDescent="0.2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x14ac:dyDescent="0.2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x14ac:dyDescent="0.2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x14ac:dyDescent="0.2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x14ac:dyDescent="0.2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x14ac:dyDescent="0.2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x14ac:dyDescent="0.2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x14ac:dyDescent="0.2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x14ac:dyDescent="0.2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x14ac:dyDescent="0.2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x14ac:dyDescent="0.2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x14ac:dyDescent="0.2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x14ac:dyDescent="0.2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x14ac:dyDescent="0.2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x14ac:dyDescent="0.2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x14ac:dyDescent="0.2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x14ac:dyDescent="0.2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x14ac:dyDescent="0.2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x14ac:dyDescent="0.2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x14ac:dyDescent="0.2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x14ac:dyDescent="0.2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x14ac:dyDescent="0.2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x14ac:dyDescent="0.2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x14ac:dyDescent="0.2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x14ac:dyDescent="0.2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x14ac:dyDescent="0.2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x14ac:dyDescent="0.2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x14ac:dyDescent="0.2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x14ac:dyDescent="0.2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x14ac:dyDescent="0.2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x14ac:dyDescent="0.2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x14ac:dyDescent="0.2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x14ac:dyDescent="0.2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x14ac:dyDescent="0.2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x14ac:dyDescent="0.2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x14ac:dyDescent="0.2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x14ac:dyDescent="0.2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x14ac:dyDescent="0.2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x14ac:dyDescent="0.2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x14ac:dyDescent="0.2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x14ac:dyDescent="0.2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x14ac:dyDescent="0.2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x14ac:dyDescent="0.2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x14ac:dyDescent="0.2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x14ac:dyDescent="0.2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x14ac:dyDescent="0.2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x14ac:dyDescent="0.25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x14ac:dyDescent="0.25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x14ac:dyDescent="0.2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x14ac:dyDescent="0.25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x14ac:dyDescent="0.25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x14ac:dyDescent="0.2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x14ac:dyDescent="0.25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x14ac:dyDescent="0.25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x14ac:dyDescent="0.2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x14ac:dyDescent="0.2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x14ac:dyDescent="0.2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x14ac:dyDescent="0.2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x14ac:dyDescent="0.2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x14ac:dyDescent="0.25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x14ac:dyDescent="0.2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x14ac:dyDescent="0.25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x14ac:dyDescent="0.25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x14ac:dyDescent="0.25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x14ac:dyDescent="0.25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x14ac:dyDescent="0.25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x14ac:dyDescent="0.25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x14ac:dyDescent="0.25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x14ac:dyDescent="0.2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x14ac:dyDescent="0.25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x14ac:dyDescent="0.25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x14ac:dyDescent="0.25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x14ac:dyDescent="0.25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x14ac:dyDescent="0.25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x14ac:dyDescent="0.25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x14ac:dyDescent="0.25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x14ac:dyDescent="0.25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x14ac:dyDescent="0.25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x14ac:dyDescent="0.2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x14ac:dyDescent="0.25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x14ac:dyDescent="0.25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x14ac:dyDescent="0.25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x14ac:dyDescent="0.25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x14ac:dyDescent="0.25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x14ac:dyDescent="0.25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x14ac:dyDescent="0.25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x14ac:dyDescent="0.25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x14ac:dyDescent="0.25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x14ac:dyDescent="0.2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x14ac:dyDescent="0.25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x14ac:dyDescent="0.25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x14ac:dyDescent="0.2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x14ac:dyDescent="0.2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x14ac:dyDescent="0.2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x14ac:dyDescent="0.25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x14ac:dyDescent="0.25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x14ac:dyDescent="0.25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x14ac:dyDescent="0.25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x14ac:dyDescent="0.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x14ac:dyDescent="0.25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x14ac:dyDescent="0.25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x14ac:dyDescent="0.25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x14ac:dyDescent="0.25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x14ac:dyDescent="0.25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x14ac:dyDescent="0.25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x14ac:dyDescent="0.25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x14ac:dyDescent="0.25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x14ac:dyDescent="0.25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x14ac:dyDescent="0.2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x14ac:dyDescent="0.25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x14ac:dyDescent="0.25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x14ac:dyDescent="0.25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x14ac:dyDescent="0.25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x14ac:dyDescent="0.25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x14ac:dyDescent="0.25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x14ac:dyDescent="0.25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x14ac:dyDescent="0.2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x14ac:dyDescent="0.2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x14ac:dyDescent="0.2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x14ac:dyDescent="0.2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x14ac:dyDescent="0.25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x14ac:dyDescent="0.25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x14ac:dyDescent="0.25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x14ac:dyDescent="0.25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x14ac:dyDescent="0.25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x14ac:dyDescent="0.25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x14ac:dyDescent="0.25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x14ac:dyDescent="0.25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x14ac:dyDescent="0.2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x14ac:dyDescent="0.25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x14ac:dyDescent="0.25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x14ac:dyDescent="0.25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x14ac:dyDescent="0.25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x14ac:dyDescent="0.25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x14ac:dyDescent="0.25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x14ac:dyDescent="0.25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x14ac:dyDescent="0.25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x14ac:dyDescent="0.25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x14ac:dyDescent="0.2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x14ac:dyDescent="0.25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x14ac:dyDescent="0.25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x14ac:dyDescent="0.25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x14ac:dyDescent="0.25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x14ac:dyDescent="0.25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x14ac:dyDescent="0.25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x14ac:dyDescent="0.2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x14ac:dyDescent="0.25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x14ac:dyDescent="0.25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x14ac:dyDescent="0.2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x14ac:dyDescent="0.25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x14ac:dyDescent="0.25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x14ac:dyDescent="0.25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x14ac:dyDescent="0.25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x14ac:dyDescent="0.25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x14ac:dyDescent="0.25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x14ac:dyDescent="0.25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x14ac:dyDescent="0.25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x14ac:dyDescent="0.25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x14ac:dyDescent="0.2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x14ac:dyDescent="0.25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x14ac:dyDescent="0.25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x14ac:dyDescent="0.25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x14ac:dyDescent="0.25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x14ac:dyDescent="0.25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x14ac:dyDescent="0.25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x14ac:dyDescent="0.25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x14ac:dyDescent="0.25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x14ac:dyDescent="0.25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x14ac:dyDescent="0.2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x14ac:dyDescent="0.25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x14ac:dyDescent="0.25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x14ac:dyDescent="0.25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x14ac:dyDescent="0.25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x14ac:dyDescent="0.25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x14ac:dyDescent="0.25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x14ac:dyDescent="0.25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x14ac:dyDescent="0.25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x14ac:dyDescent="0.25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x14ac:dyDescent="0.2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x14ac:dyDescent="0.25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x14ac:dyDescent="0.25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x14ac:dyDescent="0.2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x14ac:dyDescent="0.25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x14ac:dyDescent="0.25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x14ac:dyDescent="0.25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x14ac:dyDescent="0.25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x14ac:dyDescent="0.25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x14ac:dyDescent="0.25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x14ac:dyDescent="0.2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x14ac:dyDescent="0.25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x14ac:dyDescent="0.25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x14ac:dyDescent="0.2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x14ac:dyDescent="0.25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x14ac:dyDescent="0.25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x14ac:dyDescent="0.25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x14ac:dyDescent="0.25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x14ac:dyDescent="0.25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x14ac:dyDescent="0.25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x14ac:dyDescent="0.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x14ac:dyDescent="0.25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x14ac:dyDescent="0.25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x14ac:dyDescent="0.25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x14ac:dyDescent="0.25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x14ac:dyDescent="0.25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x14ac:dyDescent="0.25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x14ac:dyDescent="0.25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x14ac:dyDescent="0.25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x14ac:dyDescent="0.25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x14ac:dyDescent="0.2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x14ac:dyDescent="0.25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x14ac:dyDescent="0.25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x14ac:dyDescent="0.25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x14ac:dyDescent="0.25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x14ac:dyDescent="0.25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x14ac:dyDescent="0.25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x14ac:dyDescent="0.25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x14ac:dyDescent="0.25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x14ac:dyDescent="0.2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x14ac:dyDescent="0.2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x14ac:dyDescent="0.25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x14ac:dyDescent="0.25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x14ac:dyDescent="0.25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x14ac:dyDescent="0.25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x14ac:dyDescent="0.25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x14ac:dyDescent="0.25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x14ac:dyDescent="0.25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x14ac:dyDescent="0.25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x14ac:dyDescent="0.25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x14ac:dyDescent="0.2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x14ac:dyDescent="0.25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x14ac:dyDescent="0.25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x14ac:dyDescent="0.25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x14ac:dyDescent="0.25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x14ac:dyDescent="0.25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x14ac:dyDescent="0.25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x14ac:dyDescent="0.25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x14ac:dyDescent="0.25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x14ac:dyDescent="0.25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x14ac:dyDescent="0.2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x14ac:dyDescent="0.25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x14ac:dyDescent="0.25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x14ac:dyDescent="0.25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x14ac:dyDescent="0.25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x14ac:dyDescent="0.25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x14ac:dyDescent="0.25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x14ac:dyDescent="0.25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x14ac:dyDescent="0.25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x14ac:dyDescent="0.25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x14ac:dyDescent="0.2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x14ac:dyDescent="0.25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x14ac:dyDescent="0.25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x14ac:dyDescent="0.25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x14ac:dyDescent="0.25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x14ac:dyDescent="0.25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x14ac:dyDescent="0.25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x14ac:dyDescent="0.25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x14ac:dyDescent="0.25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x14ac:dyDescent="0.25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x14ac:dyDescent="0.2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x14ac:dyDescent="0.25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x14ac:dyDescent="0.25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x14ac:dyDescent="0.25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x14ac:dyDescent="0.25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x14ac:dyDescent="0.25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x14ac:dyDescent="0.25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x14ac:dyDescent="0.25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x14ac:dyDescent="0.25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x14ac:dyDescent="0.25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x14ac:dyDescent="0.2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x14ac:dyDescent="0.25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x14ac:dyDescent="0.25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x14ac:dyDescent="0.2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x14ac:dyDescent="0.25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x14ac:dyDescent="0.25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x14ac:dyDescent="0.25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x14ac:dyDescent="0.25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x14ac:dyDescent="0.25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x14ac:dyDescent="0.25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x14ac:dyDescent="0.2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x14ac:dyDescent="0.25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x14ac:dyDescent="0.25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x14ac:dyDescent="0.25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x14ac:dyDescent="0.25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x14ac:dyDescent="0.25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x14ac:dyDescent="0.25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x14ac:dyDescent="0.25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x14ac:dyDescent="0.25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x14ac:dyDescent="0.25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x14ac:dyDescent="0.2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x14ac:dyDescent="0.25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x14ac:dyDescent="0.25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x14ac:dyDescent="0.25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x14ac:dyDescent="0.25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x14ac:dyDescent="0.25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x14ac:dyDescent="0.25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x14ac:dyDescent="0.25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x14ac:dyDescent="0.25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x14ac:dyDescent="0.25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x14ac:dyDescent="0.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x14ac:dyDescent="0.25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x14ac:dyDescent="0.25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x14ac:dyDescent="0.25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x14ac:dyDescent="0.25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x14ac:dyDescent="0.25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x14ac:dyDescent="0.25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x14ac:dyDescent="0.25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x14ac:dyDescent="0.25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x14ac:dyDescent="0.2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x14ac:dyDescent="0.2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x14ac:dyDescent="0.25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x14ac:dyDescent="0.25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x14ac:dyDescent="0.25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x14ac:dyDescent="0.25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x14ac:dyDescent="0.25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x14ac:dyDescent="0.25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x14ac:dyDescent="0.25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x14ac:dyDescent="0.25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x14ac:dyDescent="0.25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x14ac:dyDescent="0.2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x14ac:dyDescent="0.25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x14ac:dyDescent="0.25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x14ac:dyDescent="0.25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x14ac:dyDescent="0.25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x14ac:dyDescent="0.25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x14ac:dyDescent="0.25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x14ac:dyDescent="0.25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x14ac:dyDescent="0.25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x14ac:dyDescent="0.25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x14ac:dyDescent="0.2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x14ac:dyDescent="0.25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x14ac:dyDescent="0.25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x14ac:dyDescent="0.25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x14ac:dyDescent="0.25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x14ac:dyDescent="0.25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x14ac:dyDescent="0.25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x14ac:dyDescent="0.25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x14ac:dyDescent="0.25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x14ac:dyDescent="0.25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x14ac:dyDescent="0.2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x14ac:dyDescent="0.25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x14ac:dyDescent="0.25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x14ac:dyDescent="0.25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x14ac:dyDescent="0.25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x14ac:dyDescent="0.25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x14ac:dyDescent="0.25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x14ac:dyDescent="0.25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x14ac:dyDescent="0.25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x14ac:dyDescent="0.2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x14ac:dyDescent="0.2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x14ac:dyDescent="0.25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x14ac:dyDescent="0.25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x14ac:dyDescent="0.25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x14ac:dyDescent="0.25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x14ac:dyDescent="0.25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x14ac:dyDescent="0.25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x14ac:dyDescent="0.25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x14ac:dyDescent="0.25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x14ac:dyDescent="0.25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x14ac:dyDescent="0.2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x14ac:dyDescent="0.25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x14ac:dyDescent="0.25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x14ac:dyDescent="0.25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x14ac:dyDescent="0.25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x14ac:dyDescent="0.25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x14ac:dyDescent="0.25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x14ac:dyDescent="0.25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x14ac:dyDescent="0.25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x14ac:dyDescent="0.25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x14ac:dyDescent="0.2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x14ac:dyDescent="0.25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x14ac:dyDescent="0.25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x14ac:dyDescent="0.25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x14ac:dyDescent="0.25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x14ac:dyDescent="0.25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x14ac:dyDescent="0.25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x14ac:dyDescent="0.25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x14ac:dyDescent="0.25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x14ac:dyDescent="0.25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x14ac:dyDescent="0.2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x14ac:dyDescent="0.25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x14ac:dyDescent="0.25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x14ac:dyDescent="0.25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x14ac:dyDescent="0.25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x14ac:dyDescent="0.25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x14ac:dyDescent="0.25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x14ac:dyDescent="0.25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x14ac:dyDescent="0.25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x14ac:dyDescent="0.25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x14ac:dyDescent="0.2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x14ac:dyDescent="0.25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x14ac:dyDescent="0.2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x14ac:dyDescent="0.25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x14ac:dyDescent="0.25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x14ac:dyDescent="0.25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x14ac:dyDescent="0.25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x14ac:dyDescent="0.25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x14ac:dyDescent="0.25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x14ac:dyDescent="0.25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x14ac:dyDescent="0.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x14ac:dyDescent="0.25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x14ac:dyDescent="0.25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x14ac:dyDescent="0.25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x14ac:dyDescent="0.25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x14ac:dyDescent="0.25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x14ac:dyDescent="0.25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x14ac:dyDescent="0.25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x14ac:dyDescent="0.25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x14ac:dyDescent="0.25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x14ac:dyDescent="0.2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x14ac:dyDescent="0.25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x14ac:dyDescent="0.25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x14ac:dyDescent="0.25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x14ac:dyDescent="0.25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x14ac:dyDescent="0.25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x14ac:dyDescent="0.25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x14ac:dyDescent="0.25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x14ac:dyDescent="0.25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x14ac:dyDescent="0.25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x14ac:dyDescent="0.2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x14ac:dyDescent="0.25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x14ac:dyDescent="0.25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x14ac:dyDescent="0.25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x14ac:dyDescent="0.25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x14ac:dyDescent="0.25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x14ac:dyDescent="0.25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x14ac:dyDescent="0.25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x14ac:dyDescent="0.25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x14ac:dyDescent="0.25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x14ac:dyDescent="0.2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x14ac:dyDescent="0.25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x14ac:dyDescent="0.25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x14ac:dyDescent="0.25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x14ac:dyDescent="0.25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x14ac:dyDescent="0.25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x14ac:dyDescent="0.25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x14ac:dyDescent="0.25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x14ac:dyDescent="0.25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x14ac:dyDescent="0.25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x14ac:dyDescent="0.2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x14ac:dyDescent="0.2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x14ac:dyDescent="0.25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x14ac:dyDescent="0.25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x14ac:dyDescent="0.25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x14ac:dyDescent="0.25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x14ac:dyDescent="0.25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x14ac:dyDescent="0.25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x14ac:dyDescent="0.25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x14ac:dyDescent="0.25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x14ac:dyDescent="0.2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x14ac:dyDescent="0.25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x14ac:dyDescent="0.25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x14ac:dyDescent="0.25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x14ac:dyDescent="0.25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x14ac:dyDescent="0.25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x14ac:dyDescent="0.25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x14ac:dyDescent="0.25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x14ac:dyDescent="0.25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x14ac:dyDescent="0.25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x14ac:dyDescent="0.2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x14ac:dyDescent="0.25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x14ac:dyDescent="0.25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x14ac:dyDescent="0.25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x14ac:dyDescent="0.25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x14ac:dyDescent="0.25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x14ac:dyDescent="0.25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x14ac:dyDescent="0.25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x14ac:dyDescent="0.25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x14ac:dyDescent="0.25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x14ac:dyDescent="0.2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x14ac:dyDescent="0.25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x14ac:dyDescent="0.25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x14ac:dyDescent="0.25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x14ac:dyDescent="0.25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x14ac:dyDescent="0.25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x14ac:dyDescent="0.25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x14ac:dyDescent="0.25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x14ac:dyDescent="0.25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x14ac:dyDescent="0.25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x14ac:dyDescent="0.2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x14ac:dyDescent="0.25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x14ac:dyDescent="0.25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x14ac:dyDescent="0.25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x14ac:dyDescent="0.25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x14ac:dyDescent="0.25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x14ac:dyDescent="0.25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x14ac:dyDescent="0.25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x14ac:dyDescent="0.25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x14ac:dyDescent="0.25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x14ac:dyDescent="0.2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x14ac:dyDescent="0.25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x14ac:dyDescent="0.25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x14ac:dyDescent="0.25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x14ac:dyDescent="0.25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x14ac:dyDescent="0.25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x14ac:dyDescent="0.25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x14ac:dyDescent="0.25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x14ac:dyDescent="0.25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x14ac:dyDescent="0.25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x14ac:dyDescent="0.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x14ac:dyDescent="0.25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x14ac:dyDescent="0.25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x14ac:dyDescent="0.25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x14ac:dyDescent="0.25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x14ac:dyDescent="0.25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x14ac:dyDescent="0.25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x14ac:dyDescent="0.25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x14ac:dyDescent="0.25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x14ac:dyDescent="0.25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x14ac:dyDescent="0.2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x14ac:dyDescent="0.25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x14ac:dyDescent="0.25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x14ac:dyDescent="0.25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x14ac:dyDescent="0.25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x14ac:dyDescent="0.25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x14ac:dyDescent="0.25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x14ac:dyDescent="0.25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x14ac:dyDescent="0.25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x14ac:dyDescent="0.25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x14ac:dyDescent="0.2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x14ac:dyDescent="0.25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x14ac:dyDescent="0.25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x14ac:dyDescent="0.25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x14ac:dyDescent="0.25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x14ac:dyDescent="0.25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x14ac:dyDescent="0.25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x14ac:dyDescent="0.25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x14ac:dyDescent="0.25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x14ac:dyDescent="0.25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x14ac:dyDescent="0.2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x14ac:dyDescent="0.25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x14ac:dyDescent="0.25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x14ac:dyDescent="0.25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x14ac:dyDescent="0.25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x14ac:dyDescent="0.25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x14ac:dyDescent="0.25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x14ac:dyDescent="0.25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x14ac:dyDescent="0.25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x14ac:dyDescent="0.25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x14ac:dyDescent="0.2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x14ac:dyDescent="0.25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x14ac:dyDescent="0.25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x14ac:dyDescent="0.25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x14ac:dyDescent="0.25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x14ac:dyDescent="0.25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x14ac:dyDescent="0.25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x14ac:dyDescent="0.25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x14ac:dyDescent="0.25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x14ac:dyDescent="0.25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x14ac:dyDescent="0.2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x14ac:dyDescent="0.25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x14ac:dyDescent="0.25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x14ac:dyDescent="0.25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x14ac:dyDescent="0.25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x14ac:dyDescent="0.25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x14ac:dyDescent="0.25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x14ac:dyDescent="0.25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x14ac:dyDescent="0.25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x14ac:dyDescent="0.25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x14ac:dyDescent="0.2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x14ac:dyDescent="0.25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x14ac:dyDescent="0.25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x14ac:dyDescent="0.25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x14ac:dyDescent="0.25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x14ac:dyDescent="0.25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x14ac:dyDescent="0.25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x14ac:dyDescent="0.25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x14ac:dyDescent="0.25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x14ac:dyDescent="0.25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x14ac:dyDescent="0.2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x14ac:dyDescent="0.25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x14ac:dyDescent="0.25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x14ac:dyDescent="0.25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x14ac:dyDescent="0.25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x14ac:dyDescent="0.25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x14ac:dyDescent="0.25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x14ac:dyDescent="0.25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x14ac:dyDescent="0.25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x14ac:dyDescent="0.25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x14ac:dyDescent="0.2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x14ac:dyDescent="0.25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x14ac:dyDescent="0.25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x14ac:dyDescent="0.25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x14ac:dyDescent="0.25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x14ac:dyDescent="0.25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x14ac:dyDescent="0.25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x14ac:dyDescent="0.25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x14ac:dyDescent="0.25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x14ac:dyDescent="0.25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x14ac:dyDescent="0.2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x14ac:dyDescent="0.25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x14ac:dyDescent="0.25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x14ac:dyDescent="0.25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x14ac:dyDescent="0.25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x14ac:dyDescent="0.25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x14ac:dyDescent="0.25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x14ac:dyDescent="0.25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x14ac:dyDescent="0.25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x14ac:dyDescent="0.25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x14ac:dyDescent="0.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x14ac:dyDescent="0.25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x14ac:dyDescent="0.25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x14ac:dyDescent="0.25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x14ac:dyDescent="0.25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x14ac:dyDescent="0.25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x14ac:dyDescent="0.25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x14ac:dyDescent="0.25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x14ac:dyDescent="0.25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x14ac:dyDescent="0.25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x14ac:dyDescent="0.2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x14ac:dyDescent="0.25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x14ac:dyDescent="0.25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x14ac:dyDescent="0.25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x14ac:dyDescent="0.25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x14ac:dyDescent="0.25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x14ac:dyDescent="0.25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x14ac:dyDescent="0.25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x14ac:dyDescent="0.25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x14ac:dyDescent="0.25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x14ac:dyDescent="0.2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x14ac:dyDescent="0.25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x14ac:dyDescent="0.25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x14ac:dyDescent="0.25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x14ac:dyDescent="0.25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x14ac:dyDescent="0.25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x14ac:dyDescent="0.25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x14ac:dyDescent="0.25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x14ac:dyDescent="0.25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x14ac:dyDescent="0.25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x14ac:dyDescent="0.2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x14ac:dyDescent="0.25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x14ac:dyDescent="0.25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x14ac:dyDescent="0.25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x14ac:dyDescent="0.25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x14ac:dyDescent="0.25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x14ac:dyDescent="0.25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x14ac:dyDescent="0.25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x14ac:dyDescent="0.25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x14ac:dyDescent="0.25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x14ac:dyDescent="0.2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x14ac:dyDescent="0.25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x14ac:dyDescent="0.25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x14ac:dyDescent="0.25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x14ac:dyDescent="0.25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x14ac:dyDescent="0.25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x14ac:dyDescent="0.25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x14ac:dyDescent="0.25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x14ac:dyDescent="0.25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x14ac:dyDescent="0.25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x14ac:dyDescent="0.2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x14ac:dyDescent="0.25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x14ac:dyDescent="0.25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x14ac:dyDescent="0.25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x14ac:dyDescent="0.25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x14ac:dyDescent="0.25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x14ac:dyDescent="0.25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x14ac:dyDescent="0.25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x14ac:dyDescent="0.25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x14ac:dyDescent="0.25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x14ac:dyDescent="0.2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x14ac:dyDescent="0.25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x14ac:dyDescent="0.25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x14ac:dyDescent="0.25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x14ac:dyDescent="0.25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x14ac:dyDescent="0.25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x14ac:dyDescent="0.25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x14ac:dyDescent="0.25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x14ac:dyDescent="0.25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x14ac:dyDescent="0.25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x14ac:dyDescent="0.2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x14ac:dyDescent="0.25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x14ac:dyDescent="0.25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x14ac:dyDescent="0.25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x14ac:dyDescent="0.25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x14ac:dyDescent="0.25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x14ac:dyDescent="0.25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x14ac:dyDescent="0.25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x14ac:dyDescent="0.25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x14ac:dyDescent="0.25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x14ac:dyDescent="0.2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x14ac:dyDescent="0.25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x14ac:dyDescent="0.25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x14ac:dyDescent="0.25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x14ac:dyDescent="0.25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x14ac:dyDescent="0.25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x14ac:dyDescent="0.25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x14ac:dyDescent="0.25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x14ac:dyDescent="0.25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x14ac:dyDescent="0.25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x14ac:dyDescent="0.2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x14ac:dyDescent="0.25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x14ac:dyDescent="0.25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x14ac:dyDescent="0.25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x14ac:dyDescent="0.25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x14ac:dyDescent="0.25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x14ac:dyDescent="0.25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x14ac:dyDescent="0.25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x14ac:dyDescent="0.25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x14ac:dyDescent="0.25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x14ac:dyDescent="0.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x14ac:dyDescent="0.25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x14ac:dyDescent="0.25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x14ac:dyDescent="0.25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x14ac:dyDescent="0.25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x14ac:dyDescent="0.25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x14ac:dyDescent="0.25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x14ac:dyDescent="0.25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x14ac:dyDescent="0.25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x14ac:dyDescent="0.25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x14ac:dyDescent="0.2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x14ac:dyDescent="0.25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x14ac:dyDescent="0.25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x14ac:dyDescent="0.25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x14ac:dyDescent="0.25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x14ac:dyDescent="0.25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x14ac:dyDescent="0.25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x14ac:dyDescent="0.25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x14ac:dyDescent="0.25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x14ac:dyDescent="0.25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x14ac:dyDescent="0.2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x14ac:dyDescent="0.25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x14ac:dyDescent="0.25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x14ac:dyDescent="0.25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x14ac:dyDescent="0.25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x14ac:dyDescent="0.25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x14ac:dyDescent="0.25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x14ac:dyDescent="0.2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x14ac:dyDescent="0.2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x14ac:dyDescent="0.25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x14ac:dyDescent="0.2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x14ac:dyDescent="0.25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x14ac:dyDescent="0.25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x14ac:dyDescent="0.25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x14ac:dyDescent="0.25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x14ac:dyDescent="0.25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x14ac:dyDescent="0.25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x14ac:dyDescent="0.25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x14ac:dyDescent="0.2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x14ac:dyDescent="0.2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x14ac:dyDescent="0.2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x14ac:dyDescent="0.25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x14ac:dyDescent="0.25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x14ac:dyDescent="0.25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x14ac:dyDescent="0.25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x14ac:dyDescent="0.25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x14ac:dyDescent="0.25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x14ac:dyDescent="0.25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x14ac:dyDescent="0.25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x14ac:dyDescent="0.25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x14ac:dyDescent="0.2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x14ac:dyDescent="0.25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x14ac:dyDescent="0.25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x14ac:dyDescent="0.25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x14ac:dyDescent="0.25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x14ac:dyDescent="0.25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x14ac:dyDescent="0.25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x14ac:dyDescent="0.25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x14ac:dyDescent="0.25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x14ac:dyDescent="0.25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x14ac:dyDescent="0.2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x14ac:dyDescent="0.25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x14ac:dyDescent="0.25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x14ac:dyDescent="0.25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x14ac:dyDescent="0.25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x14ac:dyDescent="0.25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x14ac:dyDescent="0.25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x14ac:dyDescent="0.25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x14ac:dyDescent="0.25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x14ac:dyDescent="0.25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x14ac:dyDescent="0.2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x14ac:dyDescent="0.25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x14ac:dyDescent="0.25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x14ac:dyDescent="0.25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x14ac:dyDescent="0.25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x14ac:dyDescent="0.25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x14ac:dyDescent="0.25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x14ac:dyDescent="0.25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x14ac:dyDescent="0.25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x14ac:dyDescent="0.25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x14ac:dyDescent="0.2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x14ac:dyDescent="0.25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x14ac:dyDescent="0.25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x14ac:dyDescent="0.25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x14ac:dyDescent="0.25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x14ac:dyDescent="0.25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x14ac:dyDescent="0.25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x14ac:dyDescent="0.25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x14ac:dyDescent="0.25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x14ac:dyDescent="0.25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x14ac:dyDescent="0.2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x14ac:dyDescent="0.25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x14ac:dyDescent="0.25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x14ac:dyDescent="0.25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x14ac:dyDescent="0.25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x14ac:dyDescent="0.25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x14ac:dyDescent="0.25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x14ac:dyDescent="0.25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x14ac:dyDescent="0.25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x14ac:dyDescent="0.25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x14ac:dyDescent="0.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x14ac:dyDescent="0.25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x14ac:dyDescent="0.25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x14ac:dyDescent="0.25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x14ac:dyDescent="0.25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x14ac:dyDescent="0.25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x14ac:dyDescent="0.25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x14ac:dyDescent="0.25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x14ac:dyDescent="0.25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x14ac:dyDescent="0.25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x14ac:dyDescent="0.2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x14ac:dyDescent="0.25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x14ac:dyDescent="0.25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x14ac:dyDescent="0.25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x14ac:dyDescent="0.25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x14ac:dyDescent="0.25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x14ac:dyDescent="0.25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x14ac:dyDescent="0.25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x14ac:dyDescent="0.25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x14ac:dyDescent="0.25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x14ac:dyDescent="0.2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x14ac:dyDescent="0.25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x14ac:dyDescent="0.25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x14ac:dyDescent="0.25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x14ac:dyDescent="0.25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x14ac:dyDescent="0.25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x14ac:dyDescent="0.25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x14ac:dyDescent="0.25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x14ac:dyDescent="0.25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x14ac:dyDescent="0.25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x14ac:dyDescent="0.2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x14ac:dyDescent="0.25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x14ac:dyDescent="0.25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x14ac:dyDescent="0.25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x14ac:dyDescent="0.25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x14ac:dyDescent="0.25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x14ac:dyDescent="0.25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x14ac:dyDescent="0.25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x14ac:dyDescent="0.25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x14ac:dyDescent="0.25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x14ac:dyDescent="0.2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x14ac:dyDescent="0.25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x14ac:dyDescent="0.25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x14ac:dyDescent="0.25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x14ac:dyDescent="0.25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x14ac:dyDescent="0.25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x14ac:dyDescent="0.25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x14ac:dyDescent="0.25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x14ac:dyDescent="0.25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x14ac:dyDescent="0.25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x14ac:dyDescent="0.2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x14ac:dyDescent="0.25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x14ac:dyDescent="0.25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x14ac:dyDescent="0.25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x14ac:dyDescent="0.25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x14ac:dyDescent="0.25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x14ac:dyDescent="0.25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x14ac:dyDescent="0.25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x14ac:dyDescent="0.25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x14ac:dyDescent="0.25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x14ac:dyDescent="0.2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x14ac:dyDescent="0.25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x14ac:dyDescent="0.25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x14ac:dyDescent="0.25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x14ac:dyDescent="0.25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x14ac:dyDescent="0.25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x14ac:dyDescent="0.25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x14ac:dyDescent="0.25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x14ac:dyDescent="0.25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x14ac:dyDescent="0.25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x14ac:dyDescent="0.2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x14ac:dyDescent="0.25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x14ac:dyDescent="0.25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x14ac:dyDescent="0.25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x14ac:dyDescent="0.25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x14ac:dyDescent="0.25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 spans="1:26" x14ac:dyDescent="0.25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 spans="1:26" x14ac:dyDescent="0.25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 spans="1:26" x14ac:dyDescent="0.25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 spans="1:26" x14ac:dyDescent="0.25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 spans="1:26" x14ac:dyDescent="0.25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 spans="1:26" x14ac:dyDescent="0.25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 spans="1:26" x14ac:dyDescent="0.25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 spans="1:26" x14ac:dyDescent="0.25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 spans="1:26" x14ac:dyDescent="0.25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 spans="1:26" x14ac:dyDescent="0.25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 spans="1:26" x14ac:dyDescent="0.25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 spans="1:26" x14ac:dyDescent="0.25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 spans="1:26" x14ac:dyDescent="0.25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 spans="1:26" x14ac:dyDescent="0.25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  <row r="1015" spans="1:26" x14ac:dyDescent="0.25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</row>
    <row r="1016" spans="1:26" x14ac:dyDescent="0.25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</row>
    <row r="1017" spans="1:26" x14ac:dyDescent="0.25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</row>
    <row r="1018" spans="1:26" x14ac:dyDescent="0.25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</row>
    <row r="1019" spans="1:26" x14ac:dyDescent="0.25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</row>
    <row r="1020" spans="1:26" x14ac:dyDescent="0.25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</row>
  </sheetData>
  <dataValidations count="1">
    <dataValidation type="list" allowBlank="1" showErrorMessage="1" sqref="B2:B28 B34:B44" xr:uid="{00000000-0002-0000-0300-000000000000}">
      <formula1>"высокий,средний,низкий"</formula1>
    </dataValidation>
  </dataValidations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  <hyperlink ref="F13" r:id="rId12" xr:uid="{00000000-0004-0000-0300-00000B000000}"/>
    <hyperlink ref="F14" r:id="rId13" xr:uid="{00000000-0004-0000-0300-00000C000000}"/>
    <hyperlink ref="F15" r:id="rId14" xr:uid="{00000000-0004-0000-0300-00000D000000}"/>
    <hyperlink ref="F16" r:id="rId15" xr:uid="{00000000-0004-0000-0300-00000E000000}"/>
    <hyperlink ref="F17" r:id="rId16" xr:uid="{00000000-0004-0000-0300-00000F000000}"/>
    <hyperlink ref="F18" r:id="rId17" xr:uid="{00000000-0004-0000-0300-000010000000}"/>
    <hyperlink ref="F21" r:id="rId18" xr:uid="{00000000-0004-0000-0300-000011000000}"/>
    <hyperlink ref="F34" r:id="rId19" xr:uid="{00000000-0004-0000-0300-000012000000}"/>
    <hyperlink ref="F35" r:id="rId20" xr:uid="{00000000-0004-0000-0300-000013000000}"/>
    <hyperlink ref="F36" r:id="rId21" xr:uid="{00000000-0004-0000-0300-000014000000}"/>
    <hyperlink ref="F37" r:id="rId22" xr:uid="{00000000-0004-0000-0300-000015000000}"/>
    <hyperlink ref="F38" r:id="rId23" xr:uid="{00000000-0004-0000-0300-000016000000}"/>
    <hyperlink ref="F39" r:id="rId24" xr:uid="{00000000-0004-0000-0300-000017000000}"/>
    <hyperlink ref="F40" r:id="rId25" xr:uid="{00000000-0004-0000-0300-000018000000}"/>
    <hyperlink ref="G40" r:id="rId26" xr:uid="{00000000-0004-0000-0300-000019000000}"/>
    <hyperlink ref="H40" r:id="rId27" xr:uid="{00000000-0004-0000-0300-00001A000000}"/>
    <hyperlink ref="F41" r:id="rId28" xr:uid="{00000000-0004-0000-0300-00001B000000}"/>
    <hyperlink ref="F42" r:id="rId29" xr:uid="{00000000-0004-0000-0300-00001C000000}"/>
    <hyperlink ref="F43" r:id="rId30" xr:uid="{00000000-0004-0000-0300-00001D000000}"/>
    <hyperlink ref="F44" r:id="rId31" xr:uid="{00000000-0004-0000-0300-00001E000000}"/>
    <hyperlink ref="E46" r:id="rId32" xr:uid="{00000000-0004-0000-0300-00001F000000}"/>
    <hyperlink ref="E47" r:id="rId33" xr:uid="{00000000-0004-0000-0300-000020000000}"/>
    <hyperlink ref="E48" r:id="rId34" xr:uid="{00000000-0004-0000-0300-000021000000}"/>
    <hyperlink ref="E49" r:id="rId35" xr:uid="{00000000-0004-0000-0300-000022000000}"/>
    <hyperlink ref="E50" r:id="rId36" xr:uid="{00000000-0004-0000-0300-000023000000}"/>
    <hyperlink ref="E51" r:id="rId37" xr:uid="{00000000-0004-0000-0300-000024000000}"/>
    <hyperlink ref="E52" r:id="rId38" xr:uid="{00000000-0004-0000-0300-000025000000}"/>
    <hyperlink ref="E53" r:id="rId39" xr:uid="{00000000-0004-0000-0300-000026000000}"/>
    <hyperlink ref="E54" r:id="rId40" xr:uid="{00000000-0004-0000-0300-000027000000}"/>
    <hyperlink ref="E55" r:id="rId41" xr:uid="{00000000-0004-0000-0300-000028000000}"/>
    <hyperlink ref="E56" r:id="rId42" xr:uid="{00000000-0004-0000-0300-000029000000}"/>
    <hyperlink ref="E57" r:id="rId43" xr:uid="{00000000-0004-0000-0300-00002A000000}"/>
    <hyperlink ref="E58" r:id="rId44" xr:uid="{00000000-0004-0000-0300-00002B000000}"/>
    <hyperlink ref="E59" r:id="rId45" xr:uid="{00000000-0004-0000-0300-00002C000000}"/>
    <hyperlink ref="E60" r:id="rId46" xr:uid="{00000000-0004-0000-0300-00002D000000}"/>
    <hyperlink ref="E61" r:id="rId47" xr:uid="{00000000-0004-0000-0300-00002E000000}"/>
    <hyperlink ref="E62" r:id="rId48" xr:uid="{00000000-0004-0000-0300-00002F000000}"/>
    <hyperlink ref="E63" r:id="rId49" xr:uid="{00000000-0004-0000-0300-000030000000}"/>
    <hyperlink ref="E64" r:id="rId50" xr:uid="{00000000-0004-0000-0300-000031000000}"/>
    <hyperlink ref="E65" r:id="rId51" xr:uid="{00000000-0004-0000-0300-000032000000}"/>
    <hyperlink ref="E66" r:id="rId52" xr:uid="{00000000-0004-0000-0300-000033000000}"/>
    <hyperlink ref="E67" r:id="rId53" xr:uid="{00000000-0004-0000-0300-000034000000}"/>
    <hyperlink ref="E68" r:id="rId54" xr:uid="{00000000-0004-0000-0300-000035000000}"/>
    <hyperlink ref="E69" r:id="rId55" xr:uid="{00000000-0004-0000-0300-000036000000}"/>
    <hyperlink ref="E70" r:id="rId56" xr:uid="{00000000-0004-0000-0300-000037000000}"/>
    <hyperlink ref="E71" r:id="rId57" xr:uid="{00000000-0004-0000-0300-000038000000}"/>
    <hyperlink ref="E72" r:id="rId58" xr:uid="{00000000-0004-0000-0300-000039000000}"/>
    <hyperlink ref="E73" r:id="rId59" xr:uid="{00000000-0004-0000-0300-00003A000000}"/>
    <hyperlink ref="E74" r:id="rId60" xr:uid="{00000000-0004-0000-0300-00003B000000}"/>
    <hyperlink ref="E75" r:id="rId61" xr:uid="{00000000-0004-0000-0300-00003C000000}"/>
    <hyperlink ref="E76" r:id="rId62" xr:uid="{00000000-0004-0000-0300-00003D000000}"/>
    <hyperlink ref="E77" r:id="rId63" xr:uid="{00000000-0004-0000-0300-00003E000000}"/>
    <hyperlink ref="E78" r:id="rId64" xr:uid="{00000000-0004-0000-0300-00003F000000}"/>
    <hyperlink ref="E79" r:id="rId65" xr:uid="{00000000-0004-0000-0300-000040000000}"/>
    <hyperlink ref="E80" r:id="rId66" xr:uid="{00000000-0004-0000-0300-000041000000}"/>
    <hyperlink ref="E81" r:id="rId67" xr:uid="{00000000-0004-0000-0300-000042000000}"/>
    <hyperlink ref="E82" r:id="rId68" xr:uid="{00000000-0004-0000-0300-000043000000}"/>
    <hyperlink ref="E83" r:id="rId69" xr:uid="{00000000-0004-0000-0300-000044000000}"/>
    <hyperlink ref="E84" r:id="rId70" xr:uid="{00000000-0004-0000-0300-000045000000}"/>
    <hyperlink ref="E85" r:id="rId71" xr:uid="{00000000-0004-0000-0300-000046000000}"/>
    <hyperlink ref="E86" r:id="rId72" xr:uid="{00000000-0004-0000-0300-000047000000}"/>
    <hyperlink ref="E87" r:id="rId73" xr:uid="{00000000-0004-0000-0300-000048000000}"/>
    <hyperlink ref="E88" r:id="rId74" xr:uid="{00000000-0004-0000-0300-000049000000}"/>
    <hyperlink ref="E89" r:id="rId75" xr:uid="{00000000-0004-0000-0300-00004A000000}"/>
    <hyperlink ref="E90" r:id="rId76" xr:uid="{00000000-0004-0000-0300-00004B000000}"/>
    <hyperlink ref="E91" r:id="rId77" xr:uid="{00000000-0004-0000-0300-00004C000000}"/>
    <hyperlink ref="E92" r:id="rId78" xr:uid="{00000000-0004-0000-0300-00004D000000}"/>
    <hyperlink ref="E93" r:id="rId79" xr:uid="{00000000-0004-0000-0300-00004E000000}"/>
    <hyperlink ref="E94" r:id="rId80" xr:uid="{00000000-0004-0000-0300-00004F000000}"/>
    <hyperlink ref="E95" r:id="rId81" xr:uid="{00000000-0004-0000-0300-000050000000}"/>
    <hyperlink ref="E96" r:id="rId82" xr:uid="{00000000-0004-0000-0300-000051000000}"/>
    <hyperlink ref="E97" r:id="rId83" xr:uid="{00000000-0004-0000-0300-000052000000}"/>
    <hyperlink ref="E98" r:id="rId84" xr:uid="{00000000-0004-0000-0300-000053000000}"/>
    <hyperlink ref="E99" r:id="rId85" xr:uid="{00000000-0004-0000-0300-000054000000}"/>
    <hyperlink ref="E100" r:id="rId86" xr:uid="{00000000-0004-0000-0300-000055000000}"/>
    <hyperlink ref="E101" r:id="rId87" xr:uid="{00000000-0004-0000-0300-000056000000}"/>
    <hyperlink ref="E102" r:id="rId88" xr:uid="{00000000-0004-0000-0300-000057000000}"/>
    <hyperlink ref="E103" r:id="rId89" xr:uid="{00000000-0004-0000-0300-000058000000}"/>
    <hyperlink ref="E104" r:id="rId90" xr:uid="{00000000-0004-0000-0300-000059000000}"/>
    <hyperlink ref="E105" r:id="rId91" xr:uid="{00000000-0004-0000-0300-00005A000000}"/>
    <hyperlink ref="E106" r:id="rId92" xr:uid="{00000000-0004-0000-0300-00005B000000}"/>
    <hyperlink ref="E107" r:id="rId93" xr:uid="{00000000-0004-0000-0300-00005C000000}"/>
    <hyperlink ref="E108" r:id="rId94" xr:uid="{00000000-0004-0000-0300-00005D000000}"/>
    <hyperlink ref="E109" r:id="rId95" xr:uid="{00000000-0004-0000-0300-00005E000000}"/>
    <hyperlink ref="E110" r:id="rId96" xr:uid="{00000000-0004-0000-0300-00005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4"/>
  <sheetViews>
    <sheetView workbookViewId="0"/>
  </sheetViews>
  <sheetFormatPr defaultColWidth="12.6640625" defaultRowHeight="15.75" customHeight="1" x14ac:dyDescent="0.25"/>
  <cols>
    <col min="1" max="1" width="27.44140625" customWidth="1"/>
    <col min="2" max="3" width="15.88671875" customWidth="1"/>
    <col min="4" max="4" width="13.88671875" customWidth="1"/>
    <col min="5" max="5" width="20.33203125" customWidth="1"/>
    <col min="6" max="6" width="34.33203125" customWidth="1"/>
    <col min="7" max="7" width="18.6640625" customWidth="1"/>
    <col min="8" max="8" width="37" customWidth="1"/>
    <col min="9" max="9" width="24.44140625" customWidth="1"/>
  </cols>
  <sheetData>
    <row r="1" spans="1:26" ht="17.399999999999999" x14ac:dyDescent="0.25">
      <c r="A1" s="39" t="s">
        <v>0</v>
      </c>
      <c r="B1" s="39" t="s">
        <v>101</v>
      </c>
      <c r="C1" s="40" t="s">
        <v>1</v>
      </c>
      <c r="D1" s="41" t="s">
        <v>2</v>
      </c>
      <c r="E1" s="41" t="s">
        <v>3</v>
      </c>
      <c r="F1" s="40" t="s">
        <v>4</v>
      </c>
      <c r="G1" s="39" t="s">
        <v>5</v>
      </c>
      <c r="H1" s="47"/>
      <c r="I1" s="48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39.6" x14ac:dyDescent="0.25">
      <c r="A2" s="21" t="s">
        <v>214</v>
      </c>
      <c r="B2" s="21" t="s">
        <v>102</v>
      </c>
      <c r="C2" s="21">
        <v>1</v>
      </c>
      <c r="D2" s="21">
        <v>2895</v>
      </c>
      <c r="E2" s="19">
        <f>C2*D2</f>
        <v>2895</v>
      </c>
      <c r="F2" s="22" t="s">
        <v>215</v>
      </c>
      <c r="G2" s="21" t="s">
        <v>213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26.4" x14ac:dyDescent="0.25">
      <c r="A3" s="21" t="s">
        <v>216</v>
      </c>
      <c r="B3" s="21" t="s">
        <v>102</v>
      </c>
      <c r="C3" s="21"/>
      <c r="D3" s="21"/>
      <c r="E3" s="21">
        <v>2543</v>
      </c>
      <c r="F3" s="45" t="s">
        <v>217</v>
      </c>
      <c r="G3" s="21" t="s">
        <v>218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3.2" x14ac:dyDescent="0.25">
      <c r="A4" s="21" t="s">
        <v>219</v>
      </c>
      <c r="B4" s="21" t="s">
        <v>102</v>
      </c>
      <c r="C4" s="21">
        <v>8</v>
      </c>
      <c r="D4" s="21">
        <v>430</v>
      </c>
      <c r="E4" s="21">
        <f t="shared" ref="E4:E5" si="0">C4*D4</f>
        <v>3440</v>
      </c>
      <c r="F4" s="45" t="s">
        <v>220</v>
      </c>
      <c r="G4" s="19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3.2" x14ac:dyDescent="0.25">
      <c r="A5" s="21" t="s">
        <v>221</v>
      </c>
      <c r="B5" s="21" t="s">
        <v>102</v>
      </c>
      <c r="C5" s="21">
        <v>1</v>
      </c>
      <c r="D5" s="21">
        <v>514</v>
      </c>
      <c r="E5" s="19">
        <f t="shared" si="0"/>
        <v>514</v>
      </c>
      <c r="F5" s="45" t="s">
        <v>222</v>
      </c>
      <c r="G5" s="19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52.8" x14ac:dyDescent="0.25">
      <c r="A6" s="21" t="s">
        <v>223</v>
      </c>
      <c r="B6" s="21" t="s">
        <v>102</v>
      </c>
      <c r="C6" s="21"/>
      <c r="D6" s="21"/>
      <c r="E6" s="21">
        <v>4211</v>
      </c>
      <c r="F6" s="45" t="s">
        <v>224</v>
      </c>
      <c r="G6" s="21" t="s">
        <v>106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26.4" x14ac:dyDescent="0.25">
      <c r="A7" s="21" t="s">
        <v>225</v>
      </c>
      <c r="B7" s="21" t="s">
        <v>102</v>
      </c>
      <c r="C7" s="21"/>
      <c r="D7" s="21"/>
      <c r="E7" s="21">
        <v>2297</v>
      </c>
      <c r="F7" s="22" t="s">
        <v>226</v>
      </c>
      <c r="G7" s="21" t="s">
        <v>109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3.2" x14ac:dyDescent="0.25">
      <c r="A8" s="21" t="s">
        <v>227</v>
      </c>
      <c r="B8" s="21" t="s">
        <v>102</v>
      </c>
      <c r="C8" s="21">
        <v>1</v>
      </c>
      <c r="D8" s="21">
        <v>201</v>
      </c>
      <c r="E8" s="21">
        <f t="shared" ref="E8:E29" si="1">C8*D8</f>
        <v>201</v>
      </c>
      <c r="F8" s="22" t="s">
        <v>228</v>
      </c>
      <c r="G8" s="19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56.25" customHeight="1" x14ac:dyDescent="0.25">
      <c r="A9" s="21" t="s">
        <v>229</v>
      </c>
      <c r="B9" s="21" t="s">
        <v>102</v>
      </c>
      <c r="C9" s="21">
        <v>1</v>
      </c>
      <c r="D9" s="21">
        <v>837</v>
      </c>
      <c r="E9" s="21">
        <f t="shared" si="1"/>
        <v>837</v>
      </c>
      <c r="F9" s="22" t="s">
        <v>230</v>
      </c>
      <c r="G9" s="21" t="s">
        <v>231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3.2" x14ac:dyDescent="0.25">
      <c r="A10" s="21" t="s">
        <v>232</v>
      </c>
      <c r="B10" s="21" t="s">
        <v>102</v>
      </c>
      <c r="C10" s="21">
        <v>1</v>
      </c>
      <c r="D10" s="21">
        <v>163</v>
      </c>
      <c r="E10" s="21">
        <f t="shared" si="1"/>
        <v>163</v>
      </c>
      <c r="F10" s="22" t="s">
        <v>233</v>
      </c>
      <c r="G10" s="21" t="s">
        <v>234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26.4" x14ac:dyDescent="0.25">
      <c r="A11" s="21" t="s">
        <v>235</v>
      </c>
      <c r="B11" s="21" t="s">
        <v>102</v>
      </c>
      <c r="C11" s="21">
        <v>0</v>
      </c>
      <c r="D11" s="21">
        <v>0</v>
      </c>
      <c r="E11" s="21">
        <f t="shared" si="1"/>
        <v>0</v>
      </c>
      <c r="F11" s="22" t="s">
        <v>129</v>
      </c>
      <c r="G11" s="21" t="s">
        <v>236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39.6" x14ac:dyDescent="0.25">
      <c r="A12" s="21" t="s">
        <v>237</v>
      </c>
      <c r="B12" s="21" t="s">
        <v>102</v>
      </c>
      <c r="C12" s="21">
        <v>3</v>
      </c>
      <c r="D12" s="21">
        <v>156</v>
      </c>
      <c r="E12" s="21">
        <f t="shared" si="1"/>
        <v>468</v>
      </c>
      <c r="F12" s="45" t="s">
        <v>238</v>
      </c>
      <c r="G12" s="19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3.2" x14ac:dyDescent="0.25">
      <c r="A13" s="21" t="s">
        <v>239</v>
      </c>
      <c r="B13" s="21" t="s">
        <v>102</v>
      </c>
      <c r="C13" s="21">
        <v>1</v>
      </c>
      <c r="D13" s="21">
        <v>552</v>
      </c>
      <c r="E13" s="21">
        <f t="shared" si="1"/>
        <v>552</v>
      </c>
      <c r="F13" s="45" t="s">
        <v>240</v>
      </c>
      <c r="G13" s="21" t="s">
        <v>241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26.4" x14ac:dyDescent="0.25">
      <c r="A14" s="21" t="s">
        <v>242</v>
      </c>
      <c r="B14" s="21" t="s">
        <v>102</v>
      </c>
      <c r="C14" s="21">
        <v>1</v>
      </c>
      <c r="D14" s="21">
        <v>291</v>
      </c>
      <c r="E14" s="21">
        <f t="shared" si="1"/>
        <v>291</v>
      </c>
      <c r="F14" s="22" t="s">
        <v>243</v>
      </c>
      <c r="G14" s="21" t="s">
        <v>244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3.2" x14ac:dyDescent="0.25">
      <c r="A15" s="21" t="s">
        <v>245</v>
      </c>
      <c r="B15" s="21" t="s">
        <v>102</v>
      </c>
      <c r="C15" s="21">
        <v>1</v>
      </c>
      <c r="D15" s="21">
        <v>316</v>
      </c>
      <c r="E15" s="21">
        <f t="shared" si="1"/>
        <v>316</v>
      </c>
      <c r="F15" s="22" t="s">
        <v>246</v>
      </c>
      <c r="G15" s="21" t="s">
        <v>10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3.2" x14ac:dyDescent="0.25">
      <c r="A16" s="21" t="s">
        <v>247</v>
      </c>
      <c r="B16" s="21" t="s">
        <v>102</v>
      </c>
      <c r="C16" s="21">
        <v>6</v>
      </c>
      <c r="D16" s="21">
        <v>25</v>
      </c>
      <c r="E16" s="21">
        <f t="shared" si="1"/>
        <v>150</v>
      </c>
      <c r="F16" s="22" t="s">
        <v>248</v>
      </c>
      <c r="G16" s="21" t="s">
        <v>249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26.4" x14ac:dyDescent="0.25">
      <c r="A17" s="21" t="s">
        <v>250</v>
      </c>
      <c r="B17" s="21" t="s">
        <v>102</v>
      </c>
      <c r="C17" s="21">
        <v>1</v>
      </c>
      <c r="D17" s="21">
        <v>289</v>
      </c>
      <c r="E17" s="21">
        <f t="shared" si="1"/>
        <v>289</v>
      </c>
      <c r="F17" s="45" t="s">
        <v>251</v>
      </c>
      <c r="G17" s="21" t="s">
        <v>106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26.4" x14ac:dyDescent="0.25">
      <c r="A18" s="21" t="s">
        <v>252</v>
      </c>
      <c r="B18" s="21" t="s">
        <v>102</v>
      </c>
      <c r="C18" s="21">
        <v>1</v>
      </c>
      <c r="D18" s="21">
        <v>656</v>
      </c>
      <c r="E18" s="21">
        <f t="shared" si="1"/>
        <v>656</v>
      </c>
      <c r="F18" s="22" t="s">
        <v>253</v>
      </c>
      <c r="G18" s="21" t="s">
        <v>254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26.4" x14ac:dyDescent="0.25">
      <c r="A19" s="21" t="s">
        <v>255</v>
      </c>
      <c r="B19" s="21" t="s">
        <v>102</v>
      </c>
      <c r="C19" s="21">
        <v>6</v>
      </c>
      <c r="D19" s="21">
        <v>40</v>
      </c>
      <c r="E19" s="21">
        <f t="shared" si="1"/>
        <v>240</v>
      </c>
      <c r="F19" s="45" t="s">
        <v>256</v>
      </c>
      <c r="G19" s="19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3.2" x14ac:dyDescent="0.25">
      <c r="A20" s="21" t="s">
        <v>257</v>
      </c>
      <c r="B20" s="21" t="s">
        <v>102</v>
      </c>
      <c r="C20" s="21">
        <v>2</v>
      </c>
      <c r="D20" s="21">
        <v>76</v>
      </c>
      <c r="E20" s="21">
        <f t="shared" si="1"/>
        <v>152</v>
      </c>
      <c r="F20" s="45" t="s">
        <v>258</v>
      </c>
      <c r="G20" s="19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26.4" x14ac:dyDescent="0.25">
      <c r="A21" s="21" t="s">
        <v>259</v>
      </c>
      <c r="B21" s="21" t="s">
        <v>102</v>
      </c>
      <c r="C21" s="21">
        <v>1</v>
      </c>
      <c r="D21" s="21">
        <v>1734</v>
      </c>
      <c r="E21" s="21">
        <f t="shared" si="1"/>
        <v>1734</v>
      </c>
      <c r="F21" s="45" t="s">
        <v>260</v>
      </c>
      <c r="G21" s="19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3.2" x14ac:dyDescent="0.25">
      <c r="A22" s="21" t="s">
        <v>261</v>
      </c>
      <c r="B22" s="21" t="s">
        <v>102</v>
      </c>
      <c r="C22" s="21">
        <v>9</v>
      </c>
      <c r="D22" s="21">
        <v>155</v>
      </c>
      <c r="E22" s="21">
        <f t="shared" si="1"/>
        <v>1395</v>
      </c>
      <c r="F22" s="22" t="s">
        <v>262</v>
      </c>
      <c r="G22" s="19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26.4" x14ac:dyDescent="0.25">
      <c r="A23" s="21" t="s">
        <v>263</v>
      </c>
      <c r="B23" s="21" t="s">
        <v>102</v>
      </c>
      <c r="C23" s="21">
        <v>1</v>
      </c>
      <c r="D23" s="18">
        <v>600</v>
      </c>
      <c r="E23" s="21">
        <f t="shared" si="1"/>
        <v>600</v>
      </c>
      <c r="F23" s="20" t="s">
        <v>9</v>
      </c>
      <c r="G23" s="19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26.4" x14ac:dyDescent="0.25">
      <c r="A24" s="21" t="s">
        <v>264</v>
      </c>
      <c r="B24" s="21" t="s">
        <v>102</v>
      </c>
      <c r="C24" s="21">
        <v>3</v>
      </c>
      <c r="D24" s="21">
        <v>73</v>
      </c>
      <c r="E24" s="21">
        <f t="shared" si="1"/>
        <v>219</v>
      </c>
      <c r="F24" s="22" t="s">
        <v>9</v>
      </c>
      <c r="G24" s="21" t="s">
        <v>265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26.4" x14ac:dyDescent="0.25">
      <c r="A25" s="21" t="s">
        <v>266</v>
      </c>
      <c r="B25" s="21" t="s">
        <v>103</v>
      </c>
      <c r="C25" s="21">
        <v>2</v>
      </c>
      <c r="D25" s="21">
        <v>29</v>
      </c>
      <c r="E25" s="21">
        <f t="shared" si="1"/>
        <v>58</v>
      </c>
      <c r="F25" s="22" t="s">
        <v>267</v>
      </c>
      <c r="G25" s="19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39.6" x14ac:dyDescent="0.25">
      <c r="A26" s="21" t="s">
        <v>268</v>
      </c>
      <c r="B26" s="21" t="s">
        <v>103</v>
      </c>
      <c r="C26" s="21">
        <v>1</v>
      </c>
      <c r="D26" s="21">
        <v>1964</v>
      </c>
      <c r="E26" s="21">
        <f t="shared" si="1"/>
        <v>1964</v>
      </c>
      <c r="F26" s="22" t="s">
        <v>269</v>
      </c>
      <c r="G26" s="21" t="s">
        <v>270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26.4" x14ac:dyDescent="0.25">
      <c r="A27" s="21" t="s">
        <v>271</v>
      </c>
      <c r="B27" s="21" t="s">
        <v>103</v>
      </c>
      <c r="C27" s="21">
        <v>1</v>
      </c>
      <c r="D27" s="21">
        <v>732</v>
      </c>
      <c r="E27" s="21">
        <f t="shared" si="1"/>
        <v>732</v>
      </c>
      <c r="F27" s="22" t="s">
        <v>272</v>
      </c>
      <c r="G27" s="21" t="s">
        <v>142</v>
      </c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26.4" x14ac:dyDescent="0.25">
      <c r="A28" s="21" t="s">
        <v>264</v>
      </c>
      <c r="B28" s="21" t="s">
        <v>102</v>
      </c>
      <c r="C28" s="21">
        <v>2</v>
      </c>
      <c r="D28" s="21">
        <v>77</v>
      </c>
      <c r="E28" s="21">
        <f t="shared" si="1"/>
        <v>154</v>
      </c>
      <c r="F28" s="22" t="s">
        <v>9</v>
      </c>
      <c r="G28" s="21" t="s">
        <v>273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52.8" x14ac:dyDescent="0.25">
      <c r="A29" s="21" t="s">
        <v>235</v>
      </c>
      <c r="B29" s="21" t="s">
        <v>102</v>
      </c>
      <c r="C29" s="21">
        <v>3</v>
      </c>
      <c r="D29" s="21">
        <v>80</v>
      </c>
      <c r="E29" s="21">
        <f t="shared" si="1"/>
        <v>240</v>
      </c>
      <c r="F29" s="22" t="s">
        <v>274</v>
      </c>
      <c r="G29" s="19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3.2" x14ac:dyDescent="0.25">
      <c r="A30" s="53"/>
      <c r="B30" s="53"/>
      <c r="C30" s="53"/>
      <c r="D30" s="53"/>
      <c r="E30" s="53"/>
      <c r="F30" s="73"/>
      <c r="G30" s="35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3.2" x14ac:dyDescent="0.25">
      <c r="A31" s="53"/>
      <c r="B31" s="53"/>
      <c r="C31" s="53"/>
      <c r="D31" s="53"/>
      <c r="E31" s="53"/>
      <c r="F31" s="73"/>
      <c r="G31" s="35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3.2" x14ac:dyDescent="0.25">
      <c r="A32" s="53"/>
      <c r="B32" s="53"/>
      <c r="C32" s="53"/>
      <c r="D32" s="53"/>
      <c r="E32" s="53"/>
      <c r="F32" s="73"/>
      <c r="G32" s="35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3.2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3.2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3.2" x14ac:dyDescent="0.25">
      <c r="A35" s="74"/>
      <c r="B35" s="75"/>
      <c r="C35" s="75"/>
      <c r="D35" s="74"/>
      <c r="E35" s="76"/>
      <c r="F35" s="37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3.2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3.2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3.2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3.2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3.2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3.2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3.2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3.2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3.2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3.2" x14ac:dyDescent="0.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3.2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3.2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3.2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3.2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3.2" x14ac:dyDescent="0.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3.2" x14ac:dyDescent="0.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3.2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3.2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3.2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3.2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3.2" x14ac:dyDescent="0.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3.2" x14ac:dyDescent="0.2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3.2" x14ac:dyDescent="0.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3.2" x14ac:dyDescent="0.2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3.2" x14ac:dyDescent="0.2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3.2" x14ac:dyDescent="0.2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3.2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3.2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3.2" x14ac:dyDescent="0.2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3.2" x14ac:dyDescent="0.2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3.2" x14ac:dyDescent="0.2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3.2" x14ac:dyDescent="0.2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3.2" x14ac:dyDescent="0.2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3.2" x14ac:dyDescent="0.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3.2" x14ac:dyDescent="0.2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3.2" x14ac:dyDescent="0.2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3.2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3.2" x14ac:dyDescent="0.2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3.2" x14ac:dyDescent="0.2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3.2" x14ac:dyDescent="0.2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3.2" x14ac:dyDescent="0.2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3.2" x14ac:dyDescent="0.2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3.2" x14ac:dyDescent="0.2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3.2" x14ac:dyDescent="0.2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3.2" x14ac:dyDescent="0.2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3.2" x14ac:dyDescent="0.2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3.2" x14ac:dyDescent="0.2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3.2" x14ac:dyDescent="0.2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3.2" x14ac:dyDescent="0.2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3.2" x14ac:dyDescent="0.2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3.2" x14ac:dyDescent="0.2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3.2" x14ac:dyDescent="0.2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3.2" x14ac:dyDescent="0.2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3.2" x14ac:dyDescent="0.2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3.2" x14ac:dyDescent="0.2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3.2" x14ac:dyDescent="0.2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3.2" x14ac:dyDescent="0.2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3.2" x14ac:dyDescent="0.2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3.2" x14ac:dyDescent="0.2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3.2" x14ac:dyDescent="0.2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3.2" x14ac:dyDescent="0.2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3.2" x14ac:dyDescent="0.2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3.2" x14ac:dyDescent="0.2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3.2" x14ac:dyDescent="0.2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3.2" x14ac:dyDescent="0.2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3.2" x14ac:dyDescent="0.2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3.2" x14ac:dyDescent="0.2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3.2" x14ac:dyDescent="0.2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3.2" x14ac:dyDescent="0.2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3.2" x14ac:dyDescent="0.2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3.2" x14ac:dyDescent="0.2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3.2" x14ac:dyDescent="0.2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3.2" x14ac:dyDescent="0.2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3.2" x14ac:dyDescent="0.2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3.2" x14ac:dyDescent="0.2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3.2" x14ac:dyDescent="0.2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3.2" x14ac:dyDescent="0.2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3.2" x14ac:dyDescent="0.2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3.2" x14ac:dyDescent="0.2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3.2" x14ac:dyDescent="0.2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3.2" x14ac:dyDescent="0.2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3.2" x14ac:dyDescent="0.2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3.2" x14ac:dyDescent="0.2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3.2" x14ac:dyDescent="0.2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3.2" x14ac:dyDescent="0.2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3.2" x14ac:dyDescent="0.2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3.2" x14ac:dyDescent="0.2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3.2" x14ac:dyDescent="0.2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3.2" x14ac:dyDescent="0.2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3.2" x14ac:dyDescent="0.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3.2" x14ac:dyDescent="0.2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3.2" x14ac:dyDescent="0.2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3.2" x14ac:dyDescent="0.2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3.2" x14ac:dyDescent="0.2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3.2" x14ac:dyDescent="0.2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3.2" x14ac:dyDescent="0.2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3.2" x14ac:dyDescent="0.2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3.2" x14ac:dyDescent="0.2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3.2" x14ac:dyDescent="0.2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3.2" x14ac:dyDescent="0.2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3.2" x14ac:dyDescent="0.2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3.2" x14ac:dyDescent="0.2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3.2" x14ac:dyDescent="0.2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3.2" x14ac:dyDescent="0.2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3.2" x14ac:dyDescent="0.2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3.2" x14ac:dyDescent="0.2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3.2" x14ac:dyDescent="0.2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3.2" x14ac:dyDescent="0.2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3.2" x14ac:dyDescent="0.2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3.2" x14ac:dyDescent="0.2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3.2" x14ac:dyDescent="0.2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3.2" x14ac:dyDescent="0.2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3.2" x14ac:dyDescent="0.2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3.2" x14ac:dyDescent="0.2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3.2" x14ac:dyDescent="0.2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3.2" x14ac:dyDescent="0.2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3.2" x14ac:dyDescent="0.2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3.2" x14ac:dyDescent="0.2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3.2" x14ac:dyDescent="0.2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3.2" x14ac:dyDescent="0.2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3.2" x14ac:dyDescent="0.2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3.2" x14ac:dyDescent="0.2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3.2" x14ac:dyDescent="0.2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3.2" x14ac:dyDescent="0.2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3.2" x14ac:dyDescent="0.2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3.2" x14ac:dyDescent="0.2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3.2" x14ac:dyDescent="0.2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3.2" x14ac:dyDescent="0.2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3.2" x14ac:dyDescent="0.2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3.2" x14ac:dyDescent="0.2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3.2" x14ac:dyDescent="0.2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3.2" x14ac:dyDescent="0.2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3.2" x14ac:dyDescent="0.2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3.2" x14ac:dyDescent="0.2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3.2" x14ac:dyDescent="0.2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3.2" x14ac:dyDescent="0.2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3.2" x14ac:dyDescent="0.2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3.2" x14ac:dyDescent="0.25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3.2" x14ac:dyDescent="0.25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3.2" x14ac:dyDescent="0.2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3.2" x14ac:dyDescent="0.25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3.2" x14ac:dyDescent="0.25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3.2" x14ac:dyDescent="0.2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3.2" x14ac:dyDescent="0.25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3.2" x14ac:dyDescent="0.25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3.2" x14ac:dyDescent="0.2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3.2" x14ac:dyDescent="0.2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3.2" x14ac:dyDescent="0.2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3.2" x14ac:dyDescent="0.2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3.2" x14ac:dyDescent="0.2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3.2" x14ac:dyDescent="0.25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3.2" x14ac:dyDescent="0.2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3.2" x14ac:dyDescent="0.25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3.2" x14ac:dyDescent="0.25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3.2" x14ac:dyDescent="0.25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3.2" x14ac:dyDescent="0.25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3.2" x14ac:dyDescent="0.25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3.2" x14ac:dyDescent="0.25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3.2" x14ac:dyDescent="0.25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3.2" x14ac:dyDescent="0.2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3.2" x14ac:dyDescent="0.25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3.2" x14ac:dyDescent="0.25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3.2" x14ac:dyDescent="0.25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3.2" x14ac:dyDescent="0.25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3.2" x14ac:dyDescent="0.25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3.2" x14ac:dyDescent="0.25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3.2" x14ac:dyDescent="0.25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3.2" x14ac:dyDescent="0.25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3.2" x14ac:dyDescent="0.25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3.2" x14ac:dyDescent="0.2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3.2" x14ac:dyDescent="0.25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3.2" x14ac:dyDescent="0.25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3.2" x14ac:dyDescent="0.25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3.2" x14ac:dyDescent="0.25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3.2" x14ac:dyDescent="0.25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3.2" x14ac:dyDescent="0.25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3.2" x14ac:dyDescent="0.25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3.2" x14ac:dyDescent="0.25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3.2" x14ac:dyDescent="0.25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3.2" x14ac:dyDescent="0.2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3.2" x14ac:dyDescent="0.25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3.2" x14ac:dyDescent="0.25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3.2" x14ac:dyDescent="0.2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3.2" x14ac:dyDescent="0.2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3.2" x14ac:dyDescent="0.2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3.2" x14ac:dyDescent="0.25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3.2" x14ac:dyDescent="0.25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3.2" x14ac:dyDescent="0.25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3.2" x14ac:dyDescent="0.25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3.2" x14ac:dyDescent="0.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3.2" x14ac:dyDescent="0.25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3.2" x14ac:dyDescent="0.25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3.2" x14ac:dyDescent="0.25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3.2" x14ac:dyDescent="0.25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3.2" x14ac:dyDescent="0.25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3.2" x14ac:dyDescent="0.25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3.2" x14ac:dyDescent="0.25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3.2" x14ac:dyDescent="0.25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3.2" x14ac:dyDescent="0.25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3.2" x14ac:dyDescent="0.2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3.2" x14ac:dyDescent="0.25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3.2" x14ac:dyDescent="0.25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3.2" x14ac:dyDescent="0.25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3.2" x14ac:dyDescent="0.25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3.2" x14ac:dyDescent="0.25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3.2" x14ac:dyDescent="0.25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3.2" x14ac:dyDescent="0.25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3.2" x14ac:dyDescent="0.2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3.2" x14ac:dyDescent="0.2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3.2" x14ac:dyDescent="0.2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3.2" x14ac:dyDescent="0.2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3.2" x14ac:dyDescent="0.25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3.2" x14ac:dyDescent="0.25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3.2" x14ac:dyDescent="0.25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3.2" x14ac:dyDescent="0.25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3.2" x14ac:dyDescent="0.25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3.2" x14ac:dyDescent="0.25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3.2" x14ac:dyDescent="0.25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3.2" x14ac:dyDescent="0.25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3.2" x14ac:dyDescent="0.2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3.2" x14ac:dyDescent="0.25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3.2" x14ac:dyDescent="0.25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3.2" x14ac:dyDescent="0.25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3.2" x14ac:dyDescent="0.25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3.2" x14ac:dyDescent="0.25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3.2" x14ac:dyDescent="0.25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3.2" x14ac:dyDescent="0.25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3.2" x14ac:dyDescent="0.25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3.2" x14ac:dyDescent="0.25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3.2" x14ac:dyDescent="0.2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3.2" x14ac:dyDescent="0.25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3.2" x14ac:dyDescent="0.25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3.2" x14ac:dyDescent="0.25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3.2" x14ac:dyDescent="0.25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3.2" x14ac:dyDescent="0.25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3.2" x14ac:dyDescent="0.25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3.2" x14ac:dyDescent="0.2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3.2" x14ac:dyDescent="0.25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3.2" x14ac:dyDescent="0.25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3.2" x14ac:dyDescent="0.2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3.2" x14ac:dyDescent="0.25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3.2" x14ac:dyDescent="0.25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3.2" x14ac:dyDescent="0.25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3.2" x14ac:dyDescent="0.25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3.2" x14ac:dyDescent="0.25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3.2" x14ac:dyDescent="0.25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3.2" x14ac:dyDescent="0.25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3.2" x14ac:dyDescent="0.25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3.2" x14ac:dyDescent="0.25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3.2" x14ac:dyDescent="0.2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3.2" x14ac:dyDescent="0.25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3.2" x14ac:dyDescent="0.25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3.2" x14ac:dyDescent="0.25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3.2" x14ac:dyDescent="0.25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3.2" x14ac:dyDescent="0.25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3.2" x14ac:dyDescent="0.25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3.2" x14ac:dyDescent="0.25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3.2" x14ac:dyDescent="0.25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3.2" x14ac:dyDescent="0.25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3.2" x14ac:dyDescent="0.2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3.2" x14ac:dyDescent="0.25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3.2" x14ac:dyDescent="0.25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3.2" x14ac:dyDescent="0.25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3.2" x14ac:dyDescent="0.25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3.2" x14ac:dyDescent="0.25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3.2" x14ac:dyDescent="0.25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3.2" x14ac:dyDescent="0.25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3.2" x14ac:dyDescent="0.25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3.2" x14ac:dyDescent="0.25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3.2" x14ac:dyDescent="0.2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3.2" x14ac:dyDescent="0.25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3.2" x14ac:dyDescent="0.25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3.2" x14ac:dyDescent="0.2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3.2" x14ac:dyDescent="0.25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3.2" x14ac:dyDescent="0.25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3.2" x14ac:dyDescent="0.25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3.2" x14ac:dyDescent="0.25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3.2" x14ac:dyDescent="0.25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3.2" x14ac:dyDescent="0.25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3.2" x14ac:dyDescent="0.2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3.2" x14ac:dyDescent="0.25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3.2" x14ac:dyDescent="0.25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3.2" x14ac:dyDescent="0.2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3.2" x14ac:dyDescent="0.25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3.2" x14ac:dyDescent="0.25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3.2" x14ac:dyDescent="0.25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3.2" x14ac:dyDescent="0.25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3.2" x14ac:dyDescent="0.25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3.2" x14ac:dyDescent="0.25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3.2" x14ac:dyDescent="0.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3.2" x14ac:dyDescent="0.25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3.2" x14ac:dyDescent="0.25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3.2" x14ac:dyDescent="0.25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3.2" x14ac:dyDescent="0.25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3.2" x14ac:dyDescent="0.25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3.2" x14ac:dyDescent="0.25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3.2" x14ac:dyDescent="0.25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3.2" x14ac:dyDescent="0.25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3.2" x14ac:dyDescent="0.25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3.2" x14ac:dyDescent="0.2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3.2" x14ac:dyDescent="0.25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3.2" x14ac:dyDescent="0.25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3.2" x14ac:dyDescent="0.25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3.2" x14ac:dyDescent="0.25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3.2" x14ac:dyDescent="0.25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3.2" x14ac:dyDescent="0.25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3.2" x14ac:dyDescent="0.25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3.2" x14ac:dyDescent="0.25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3.2" x14ac:dyDescent="0.2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3.2" x14ac:dyDescent="0.2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3.2" x14ac:dyDescent="0.25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3.2" x14ac:dyDescent="0.25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3.2" x14ac:dyDescent="0.25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3.2" x14ac:dyDescent="0.25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3.2" x14ac:dyDescent="0.25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3.2" x14ac:dyDescent="0.25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3.2" x14ac:dyDescent="0.25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3.2" x14ac:dyDescent="0.25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3.2" x14ac:dyDescent="0.25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3.2" x14ac:dyDescent="0.2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3.2" x14ac:dyDescent="0.25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3.2" x14ac:dyDescent="0.25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3.2" x14ac:dyDescent="0.25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3.2" x14ac:dyDescent="0.25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3.2" x14ac:dyDescent="0.25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3.2" x14ac:dyDescent="0.25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3.2" x14ac:dyDescent="0.25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3.2" x14ac:dyDescent="0.25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3.2" x14ac:dyDescent="0.25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3.2" x14ac:dyDescent="0.2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3.2" x14ac:dyDescent="0.25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3.2" x14ac:dyDescent="0.25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3.2" x14ac:dyDescent="0.25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3.2" x14ac:dyDescent="0.25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3.2" x14ac:dyDescent="0.25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3.2" x14ac:dyDescent="0.25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3.2" x14ac:dyDescent="0.25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3.2" x14ac:dyDescent="0.25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3.2" x14ac:dyDescent="0.25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3.2" x14ac:dyDescent="0.2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3.2" x14ac:dyDescent="0.25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3.2" x14ac:dyDescent="0.25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3.2" x14ac:dyDescent="0.25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3.2" x14ac:dyDescent="0.25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3.2" x14ac:dyDescent="0.25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3.2" x14ac:dyDescent="0.25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3.2" x14ac:dyDescent="0.25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3.2" x14ac:dyDescent="0.25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3.2" x14ac:dyDescent="0.25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3.2" x14ac:dyDescent="0.2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3.2" x14ac:dyDescent="0.25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3.2" x14ac:dyDescent="0.25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3.2" x14ac:dyDescent="0.25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3.2" x14ac:dyDescent="0.25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3.2" x14ac:dyDescent="0.25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3.2" x14ac:dyDescent="0.25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3.2" x14ac:dyDescent="0.25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3.2" x14ac:dyDescent="0.25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3.2" x14ac:dyDescent="0.25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3.2" x14ac:dyDescent="0.2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3.2" x14ac:dyDescent="0.25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3.2" x14ac:dyDescent="0.25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3.2" x14ac:dyDescent="0.2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3.2" x14ac:dyDescent="0.25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3.2" x14ac:dyDescent="0.25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3.2" x14ac:dyDescent="0.25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3.2" x14ac:dyDescent="0.25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3.2" x14ac:dyDescent="0.25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3.2" x14ac:dyDescent="0.25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3.2" x14ac:dyDescent="0.2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3.2" x14ac:dyDescent="0.25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3.2" x14ac:dyDescent="0.25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3.2" x14ac:dyDescent="0.25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3.2" x14ac:dyDescent="0.25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3.2" x14ac:dyDescent="0.25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3.2" x14ac:dyDescent="0.25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3.2" x14ac:dyDescent="0.25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3.2" x14ac:dyDescent="0.25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3.2" x14ac:dyDescent="0.25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3.2" x14ac:dyDescent="0.2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3.2" x14ac:dyDescent="0.25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3.2" x14ac:dyDescent="0.25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3.2" x14ac:dyDescent="0.25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3.2" x14ac:dyDescent="0.25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3.2" x14ac:dyDescent="0.25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3.2" x14ac:dyDescent="0.25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3.2" x14ac:dyDescent="0.25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3.2" x14ac:dyDescent="0.25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3.2" x14ac:dyDescent="0.25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3.2" x14ac:dyDescent="0.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3.2" x14ac:dyDescent="0.25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3.2" x14ac:dyDescent="0.25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3.2" x14ac:dyDescent="0.25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3.2" x14ac:dyDescent="0.25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3.2" x14ac:dyDescent="0.25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3.2" x14ac:dyDescent="0.25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3.2" x14ac:dyDescent="0.25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3.2" x14ac:dyDescent="0.25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3.2" x14ac:dyDescent="0.2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3.2" x14ac:dyDescent="0.2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3.2" x14ac:dyDescent="0.25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3.2" x14ac:dyDescent="0.25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3.2" x14ac:dyDescent="0.25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3.2" x14ac:dyDescent="0.25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3.2" x14ac:dyDescent="0.25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3.2" x14ac:dyDescent="0.25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3.2" x14ac:dyDescent="0.25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3.2" x14ac:dyDescent="0.25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3.2" x14ac:dyDescent="0.25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3.2" x14ac:dyDescent="0.2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3.2" x14ac:dyDescent="0.25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3.2" x14ac:dyDescent="0.25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3.2" x14ac:dyDescent="0.25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3.2" x14ac:dyDescent="0.25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3.2" x14ac:dyDescent="0.25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3.2" x14ac:dyDescent="0.25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3.2" x14ac:dyDescent="0.25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3.2" x14ac:dyDescent="0.25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3.2" x14ac:dyDescent="0.25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3.2" x14ac:dyDescent="0.2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3.2" x14ac:dyDescent="0.25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3.2" x14ac:dyDescent="0.25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3.2" x14ac:dyDescent="0.25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3.2" x14ac:dyDescent="0.25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3.2" x14ac:dyDescent="0.25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3.2" x14ac:dyDescent="0.25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3.2" x14ac:dyDescent="0.25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3.2" x14ac:dyDescent="0.25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3.2" x14ac:dyDescent="0.25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3.2" x14ac:dyDescent="0.2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3.2" x14ac:dyDescent="0.25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3.2" x14ac:dyDescent="0.25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3.2" x14ac:dyDescent="0.25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3.2" x14ac:dyDescent="0.25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3.2" x14ac:dyDescent="0.25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3.2" x14ac:dyDescent="0.25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3.2" x14ac:dyDescent="0.25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3.2" x14ac:dyDescent="0.25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3.2" x14ac:dyDescent="0.2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3.2" x14ac:dyDescent="0.2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3.2" x14ac:dyDescent="0.25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3.2" x14ac:dyDescent="0.25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3.2" x14ac:dyDescent="0.25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3.2" x14ac:dyDescent="0.25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3.2" x14ac:dyDescent="0.25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3.2" x14ac:dyDescent="0.25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3.2" x14ac:dyDescent="0.25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3.2" x14ac:dyDescent="0.25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3.2" x14ac:dyDescent="0.25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3.2" x14ac:dyDescent="0.2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3.2" x14ac:dyDescent="0.25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3.2" x14ac:dyDescent="0.25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3.2" x14ac:dyDescent="0.25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3.2" x14ac:dyDescent="0.25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3.2" x14ac:dyDescent="0.25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3.2" x14ac:dyDescent="0.25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3.2" x14ac:dyDescent="0.25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3.2" x14ac:dyDescent="0.25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3.2" x14ac:dyDescent="0.25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3.2" x14ac:dyDescent="0.2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3.2" x14ac:dyDescent="0.25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3.2" x14ac:dyDescent="0.25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3.2" x14ac:dyDescent="0.25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3.2" x14ac:dyDescent="0.25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3.2" x14ac:dyDescent="0.25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3.2" x14ac:dyDescent="0.25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3.2" x14ac:dyDescent="0.25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3.2" x14ac:dyDescent="0.25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3.2" x14ac:dyDescent="0.25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3.2" x14ac:dyDescent="0.2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3.2" x14ac:dyDescent="0.25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3.2" x14ac:dyDescent="0.25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3.2" x14ac:dyDescent="0.25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3.2" x14ac:dyDescent="0.25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3.2" x14ac:dyDescent="0.25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3.2" x14ac:dyDescent="0.25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3.2" x14ac:dyDescent="0.25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3.2" x14ac:dyDescent="0.25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3.2" x14ac:dyDescent="0.25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3.2" x14ac:dyDescent="0.2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3.2" x14ac:dyDescent="0.25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3.2" x14ac:dyDescent="0.2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3.2" x14ac:dyDescent="0.25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3.2" x14ac:dyDescent="0.25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3.2" x14ac:dyDescent="0.25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3.2" x14ac:dyDescent="0.25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3.2" x14ac:dyDescent="0.25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3.2" x14ac:dyDescent="0.25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3.2" x14ac:dyDescent="0.25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3.2" x14ac:dyDescent="0.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3.2" x14ac:dyDescent="0.25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3.2" x14ac:dyDescent="0.25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3.2" x14ac:dyDescent="0.25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3.2" x14ac:dyDescent="0.25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3.2" x14ac:dyDescent="0.25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3.2" x14ac:dyDescent="0.25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3.2" x14ac:dyDescent="0.25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3.2" x14ac:dyDescent="0.25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3.2" x14ac:dyDescent="0.25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3.2" x14ac:dyDescent="0.2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3.2" x14ac:dyDescent="0.25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3.2" x14ac:dyDescent="0.25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3.2" x14ac:dyDescent="0.25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3.2" x14ac:dyDescent="0.25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3.2" x14ac:dyDescent="0.25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3.2" x14ac:dyDescent="0.25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3.2" x14ac:dyDescent="0.25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3.2" x14ac:dyDescent="0.25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3.2" x14ac:dyDescent="0.25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3.2" x14ac:dyDescent="0.2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3.2" x14ac:dyDescent="0.25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3.2" x14ac:dyDescent="0.25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3.2" x14ac:dyDescent="0.25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3.2" x14ac:dyDescent="0.25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3.2" x14ac:dyDescent="0.25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3.2" x14ac:dyDescent="0.25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3.2" x14ac:dyDescent="0.25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3.2" x14ac:dyDescent="0.25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3.2" x14ac:dyDescent="0.25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3.2" x14ac:dyDescent="0.2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3.2" x14ac:dyDescent="0.25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3.2" x14ac:dyDescent="0.25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3.2" x14ac:dyDescent="0.25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3.2" x14ac:dyDescent="0.25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3.2" x14ac:dyDescent="0.25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3.2" x14ac:dyDescent="0.25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3.2" x14ac:dyDescent="0.25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3.2" x14ac:dyDescent="0.25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3.2" x14ac:dyDescent="0.25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3.2" x14ac:dyDescent="0.2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3.2" x14ac:dyDescent="0.2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3.2" x14ac:dyDescent="0.25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3.2" x14ac:dyDescent="0.25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3.2" x14ac:dyDescent="0.25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3.2" x14ac:dyDescent="0.25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3.2" x14ac:dyDescent="0.25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3.2" x14ac:dyDescent="0.25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3.2" x14ac:dyDescent="0.25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3.2" x14ac:dyDescent="0.25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3.2" x14ac:dyDescent="0.2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3.2" x14ac:dyDescent="0.25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3.2" x14ac:dyDescent="0.25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3.2" x14ac:dyDescent="0.25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3.2" x14ac:dyDescent="0.25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3.2" x14ac:dyDescent="0.25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3.2" x14ac:dyDescent="0.25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3.2" x14ac:dyDescent="0.25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3.2" x14ac:dyDescent="0.25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3.2" x14ac:dyDescent="0.25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3.2" x14ac:dyDescent="0.2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3.2" x14ac:dyDescent="0.25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3.2" x14ac:dyDescent="0.25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3.2" x14ac:dyDescent="0.25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3.2" x14ac:dyDescent="0.25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3.2" x14ac:dyDescent="0.25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3.2" x14ac:dyDescent="0.25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3.2" x14ac:dyDescent="0.25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3.2" x14ac:dyDescent="0.25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3.2" x14ac:dyDescent="0.25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3.2" x14ac:dyDescent="0.2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3.2" x14ac:dyDescent="0.25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3.2" x14ac:dyDescent="0.25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3.2" x14ac:dyDescent="0.25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3.2" x14ac:dyDescent="0.25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3.2" x14ac:dyDescent="0.25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3.2" x14ac:dyDescent="0.25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3.2" x14ac:dyDescent="0.25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3.2" x14ac:dyDescent="0.25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3.2" x14ac:dyDescent="0.25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3.2" x14ac:dyDescent="0.2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3.2" x14ac:dyDescent="0.25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3.2" x14ac:dyDescent="0.25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3.2" x14ac:dyDescent="0.25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3.2" x14ac:dyDescent="0.25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3.2" x14ac:dyDescent="0.25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3.2" x14ac:dyDescent="0.25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3.2" x14ac:dyDescent="0.25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3.2" x14ac:dyDescent="0.25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3.2" x14ac:dyDescent="0.25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3.2" x14ac:dyDescent="0.2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3.2" x14ac:dyDescent="0.25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3.2" x14ac:dyDescent="0.25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3.2" x14ac:dyDescent="0.25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3.2" x14ac:dyDescent="0.25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3.2" x14ac:dyDescent="0.25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3.2" x14ac:dyDescent="0.25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3.2" x14ac:dyDescent="0.25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3.2" x14ac:dyDescent="0.25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3.2" x14ac:dyDescent="0.25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3.2" x14ac:dyDescent="0.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3.2" x14ac:dyDescent="0.25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3.2" x14ac:dyDescent="0.25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3.2" x14ac:dyDescent="0.25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3.2" x14ac:dyDescent="0.25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3.2" x14ac:dyDescent="0.25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3.2" x14ac:dyDescent="0.25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3.2" x14ac:dyDescent="0.25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3.2" x14ac:dyDescent="0.25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3.2" x14ac:dyDescent="0.25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3.2" x14ac:dyDescent="0.2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3.2" x14ac:dyDescent="0.25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3.2" x14ac:dyDescent="0.25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3.2" x14ac:dyDescent="0.25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3.2" x14ac:dyDescent="0.25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3.2" x14ac:dyDescent="0.25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3.2" x14ac:dyDescent="0.25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3.2" x14ac:dyDescent="0.25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3.2" x14ac:dyDescent="0.25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3.2" x14ac:dyDescent="0.25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3.2" x14ac:dyDescent="0.2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3.2" x14ac:dyDescent="0.25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3.2" x14ac:dyDescent="0.25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3.2" x14ac:dyDescent="0.25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3.2" x14ac:dyDescent="0.25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3.2" x14ac:dyDescent="0.25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3.2" x14ac:dyDescent="0.25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3.2" x14ac:dyDescent="0.25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3.2" x14ac:dyDescent="0.25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3.2" x14ac:dyDescent="0.25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3.2" x14ac:dyDescent="0.2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3.2" x14ac:dyDescent="0.25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3.2" x14ac:dyDescent="0.25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3.2" x14ac:dyDescent="0.25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3.2" x14ac:dyDescent="0.25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3.2" x14ac:dyDescent="0.25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3.2" x14ac:dyDescent="0.25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3.2" x14ac:dyDescent="0.25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3.2" x14ac:dyDescent="0.25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3.2" x14ac:dyDescent="0.25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3.2" x14ac:dyDescent="0.2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3.2" x14ac:dyDescent="0.25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3.2" x14ac:dyDescent="0.25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3.2" x14ac:dyDescent="0.25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3.2" x14ac:dyDescent="0.25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3.2" x14ac:dyDescent="0.25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3.2" x14ac:dyDescent="0.25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3.2" x14ac:dyDescent="0.25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3.2" x14ac:dyDescent="0.25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3.2" x14ac:dyDescent="0.25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3.2" x14ac:dyDescent="0.2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3.2" x14ac:dyDescent="0.25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3.2" x14ac:dyDescent="0.25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3.2" x14ac:dyDescent="0.25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3.2" x14ac:dyDescent="0.25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3.2" x14ac:dyDescent="0.25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3.2" x14ac:dyDescent="0.25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3.2" x14ac:dyDescent="0.25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3.2" x14ac:dyDescent="0.25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3.2" x14ac:dyDescent="0.25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3.2" x14ac:dyDescent="0.2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3.2" x14ac:dyDescent="0.25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3.2" x14ac:dyDescent="0.25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3.2" x14ac:dyDescent="0.25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3.2" x14ac:dyDescent="0.25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3.2" x14ac:dyDescent="0.25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3.2" x14ac:dyDescent="0.25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3.2" x14ac:dyDescent="0.25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3.2" x14ac:dyDescent="0.25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3.2" x14ac:dyDescent="0.25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3.2" x14ac:dyDescent="0.2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3.2" x14ac:dyDescent="0.25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3.2" x14ac:dyDescent="0.25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3.2" x14ac:dyDescent="0.25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3.2" x14ac:dyDescent="0.25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3.2" x14ac:dyDescent="0.25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3.2" x14ac:dyDescent="0.25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3.2" x14ac:dyDescent="0.25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3.2" x14ac:dyDescent="0.25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3.2" x14ac:dyDescent="0.25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3.2" x14ac:dyDescent="0.2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3.2" x14ac:dyDescent="0.25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3.2" x14ac:dyDescent="0.25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3.2" x14ac:dyDescent="0.25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3.2" x14ac:dyDescent="0.25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3.2" x14ac:dyDescent="0.25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3.2" x14ac:dyDescent="0.25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3.2" x14ac:dyDescent="0.25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3.2" x14ac:dyDescent="0.25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3.2" x14ac:dyDescent="0.25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3.2" x14ac:dyDescent="0.2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3.2" x14ac:dyDescent="0.25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3.2" x14ac:dyDescent="0.25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3.2" x14ac:dyDescent="0.25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3.2" x14ac:dyDescent="0.25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3.2" x14ac:dyDescent="0.25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3.2" x14ac:dyDescent="0.25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3.2" x14ac:dyDescent="0.25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3.2" x14ac:dyDescent="0.25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3.2" x14ac:dyDescent="0.25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3.2" x14ac:dyDescent="0.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3.2" x14ac:dyDescent="0.25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3.2" x14ac:dyDescent="0.25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3.2" x14ac:dyDescent="0.25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3.2" x14ac:dyDescent="0.25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3.2" x14ac:dyDescent="0.25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3.2" x14ac:dyDescent="0.25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3.2" x14ac:dyDescent="0.25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3.2" x14ac:dyDescent="0.25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3.2" x14ac:dyDescent="0.25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3.2" x14ac:dyDescent="0.2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3.2" x14ac:dyDescent="0.25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3.2" x14ac:dyDescent="0.25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3.2" x14ac:dyDescent="0.25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3.2" x14ac:dyDescent="0.25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3.2" x14ac:dyDescent="0.25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3.2" x14ac:dyDescent="0.25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3.2" x14ac:dyDescent="0.25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3.2" x14ac:dyDescent="0.25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3.2" x14ac:dyDescent="0.25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3.2" x14ac:dyDescent="0.2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3.2" x14ac:dyDescent="0.25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3.2" x14ac:dyDescent="0.25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3.2" x14ac:dyDescent="0.25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3.2" x14ac:dyDescent="0.25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3.2" x14ac:dyDescent="0.25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3.2" x14ac:dyDescent="0.25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3.2" x14ac:dyDescent="0.25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3.2" x14ac:dyDescent="0.25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3.2" x14ac:dyDescent="0.25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3.2" x14ac:dyDescent="0.2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3.2" x14ac:dyDescent="0.25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3.2" x14ac:dyDescent="0.25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3.2" x14ac:dyDescent="0.25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3.2" x14ac:dyDescent="0.25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3.2" x14ac:dyDescent="0.25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3.2" x14ac:dyDescent="0.25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3.2" x14ac:dyDescent="0.25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3.2" x14ac:dyDescent="0.25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3.2" x14ac:dyDescent="0.25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3.2" x14ac:dyDescent="0.2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3.2" x14ac:dyDescent="0.25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3.2" x14ac:dyDescent="0.25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3.2" x14ac:dyDescent="0.25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3.2" x14ac:dyDescent="0.25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3.2" x14ac:dyDescent="0.25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3.2" x14ac:dyDescent="0.25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3.2" x14ac:dyDescent="0.25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3.2" x14ac:dyDescent="0.25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3.2" x14ac:dyDescent="0.25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3.2" x14ac:dyDescent="0.2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3.2" x14ac:dyDescent="0.25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3.2" x14ac:dyDescent="0.25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3.2" x14ac:dyDescent="0.25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3.2" x14ac:dyDescent="0.25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3.2" x14ac:dyDescent="0.25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3.2" x14ac:dyDescent="0.25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3.2" x14ac:dyDescent="0.25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3.2" x14ac:dyDescent="0.25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3.2" x14ac:dyDescent="0.25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3.2" x14ac:dyDescent="0.2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3.2" x14ac:dyDescent="0.25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3.2" x14ac:dyDescent="0.25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3.2" x14ac:dyDescent="0.25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3.2" x14ac:dyDescent="0.25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3.2" x14ac:dyDescent="0.25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3.2" x14ac:dyDescent="0.25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3.2" x14ac:dyDescent="0.25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3.2" x14ac:dyDescent="0.25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3.2" x14ac:dyDescent="0.25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3.2" x14ac:dyDescent="0.2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3.2" x14ac:dyDescent="0.25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3.2" x14ac:dyDescent="0.25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3.2" x14ac:dyDescent="0.25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3.2" x14ac:dyDescent="0.25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3.2" x14ac:dyDescent="0.25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3.2" x14ac:dyDescent="0.25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3.2" x14ac:dyDescent="0.25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3.2" x14ac:dyDescent="0.25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3.2" x14ac:dyDescent="0.25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3.2" x14ac:dyDescent="0.2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3.2" x14ac:dyDescent="0.25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3.2" x14ac:dyDescent="0.25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3.2" x14ac:dyDescent="0.25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3.2" x14ac:dyDescent="0.25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3.2" x14ac:dyDescent="0.25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3.2" x14ac:dyDescent="0.25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3.2" x14ac:dyDescent="0.25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3.2" x14ac:dyDescent="0.25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3.2" x14ac:dyDescent="0.25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3.2" x14ac:dyDescent="0.2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3.2" x14ac:dyDescent="0.25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3.2" x14ac:dyDescent="0.25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3.2" x14ac:dyDescent="0.25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3.2" x14ac:dyDescent="0.25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3.2" x14ac:dyDescent="0.25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3.2" x14ac:dyDescent="0.25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3.2" x14ac:dyDescent="0.25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3.2" x14ac:dyDescent="0.25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3.2" x14ac:dyDescent="0.25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3.2" x14ac:dyDescent="0.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3.2" x14ac:dyDescent="0.25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3.2" x14ac:dyDescent="0.25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3.2" x14ac:dyDescent="0.25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3.2" x14ac:dyDescent="0.25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3.2" x14ac:dyDescent="0.25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3.2" x14ac:dyDescent="0.25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3.2" x14ac:dyDescent="0.25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3.2" x14ac:dyDescent="0.25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3.2" x14ac:dyDescent="0.25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3.2" x14ac:dyDescent="0.2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3.2" x14ac:dyDescent="0.25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3.2" x14ac:dyDescent="0.25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3.2" x14ac:dyDescent="0.25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3.2" x14ac:dyDescent="0.25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3.2" x14ac:dyDescent="0.25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3.2" x14ac:dyDescent="0.25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3.2" x14ac:dyDescent="0.25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3.2" x14ac:dyDescent="0.25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3.2" x14ac:dyDescent="0.25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3.2" x14ac:dyDescent="0.2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3.2" x14ac:dyDescent="0.25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3.2" x14ac:dyDescent="0.25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3.2" x14ac:dyDescent="0.25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3.2" x14ac:dyDescent="0.25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3.2" x14ac:dyDescent="0.25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3.2" x14ac:dyDescent="0.25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3.2" x14ac:dyDescent="0.2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3.2" x14ac:dyDescent="0.2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3.2" x14ac:dyDescent="0.25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3.2" x14ac:dyDescent="0.2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3.2" x14ac:dyDescent="0.25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3.2" x14ac:dyDescent="0.25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3.2" x14ac:dyDescent="0.25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3.2" x14ac:dyDescent="0.25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3.2" x14ac:dyDescent="0.25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3.2" x14ac:dyDescent="0.25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3.2" x14ac:dyDescent="0.25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3.2" x14ac:dyDescent="0.2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3.2" x14ac:dyDescent="0.2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3.2" x14ac:dyDescent="0.2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3.2" x14ac:dyDescent="0.25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3.2" x14ac:dyDescent="0.25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3.2" x14ac:dyDescent="0.25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3.2" x14ac:dyDescent="0.25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3.2" x14ac:dyDescent="0.25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3.2" x14ac:dyDescent="0.25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3.2" x14ac:dyDescent="0.25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3.2" x14ac:dyDescent="0.25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3.2" x14ac:dyDescent="0.25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3.2" x14ac:dyDescent="0.2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3.2" x14ac:dyDescent="0.25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3.2" x14ac:dyDescent="0.25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3.2" x14ac:dyDescent="0.25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3.2" x14ac:dyDescent="0.25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3.2" x14ac:dyDescent="0.25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3.2" x14ac:dyDescent="0.25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3.2" x14ac:dyDescent="0.25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3.2" x14ac:dyDescent="0.25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3.2" x14ac:dyDescent="0.25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3.2" x14ac:dyDescent="0.2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3.2" x14ac:dyDescent="0.25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3.2" x14ac:dyDescent="0.25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3.2" x14ac:dyDescent="0.25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3.2" x14ac:dyDescent="0.25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3.2" x14ac:dyDescent="0.25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3.2" x14ac:dyDescent="0.25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3.2" x14ac:dyDescent="0.25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3.2" x14ac:dyDescent="0.25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3.2" x14ac:dyDescent="0.25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3.2" x14ac:dyDescent="0.2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3.2" x14ac:dyDescent="0.25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3.2" x14ac:dyDescent="0.25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3.2" x14ac:dyDescent="0.25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3.2" x14ac:dyDescent="0.25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3.2" x14ac:dyDescent="0.25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3.2" x14ac:dyDescent="0.25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3.2" x14ac:dyDescent="0.25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3.2" x14ac:dyDescent="0.25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3.2" x14ac:dyDescent="0.25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3.2" x14ac:dyDescent="0.2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3.2" x14ac:dyDescent="0.25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3.2" x14ac:dyDescent="0.25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3.2" x14ac:dyDescent="0.25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3.2" x14ac:dyDescent="0.25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3.2" x14ac:dyDescent="0.25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3.2" x14ac:dyDescent="0.25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3.2" x14ac:dyDescent="0.25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3.2" x14ac:dyDescent="0.25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3.2" x14ac:dyDescent="0.25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3.2" x14ac:dyDescent="0.2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3.2" x14ac:dyDescent="0.25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3.2" x14ac:dyDescent="0.25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3.2" x14ac:dyDescent="0.25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3.2" x14ac:dyDescent="0.25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3.2" x14ac:dyDescent="0.25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3.2" x14ac:dyDescent="0.25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3.2" x14ac:dyDescent="0.25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3.2" x14ac:dyDescent="0.25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3.2" x14ac:dyDescent="0.25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3.2" x14ac:dyDescent="0.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3.2" x14ac:dyDescent="0.25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3.2" x14ac:dyDescent="0.25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3.2" x14ac:dyDescent="0.25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3.2" x14ac:dyDescent="0.25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3.2" x14ac:dyDescent="0.25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3.2" x14ac:dyDescent="0.25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3.2" x14ac:dyDescent="0.25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3.2" x14ac:dyDescent="0.25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3.2" x14ac:dyDescent="0.25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3.2" x14ac:dyDescent="0.2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3.2" x14ac:dyDescent="0.25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3.2" x14ac:dyDescent="0.25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3.2" x14ac:dyDescent="0.25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3.2" x14ac:dyDescent="0.25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3.2" x14ac:dyDescent="0.25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3.2" x14ac:dyDescent="0.25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3.2" x14ac:dyDescent="0.25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3.2" x14ac:dyDescent="0.25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3.2" x14ac:dyDescent="0.25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3.2" x14ac:dyDescent="0.2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3.2" x14ac:dyDescent="0.25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3.2" x14ac:dyDescent="0.25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3.2" x14ac:dyDescent="0.25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3.2" x14ac:dyDescent="0.25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3.2" x14ac:dyDescent="0.25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3.2" x14ac:dyDescent="0.25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3.2" x14ac:dyDescent="0.25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3.2" x14ac:dyDescent="0.25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3.2" x14ac:dyDescent="0.25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3.2" x14ac:dyDescent="0.2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3.2" x14ac:dyDescent="0.25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3.2" x14ac:dyDescent="0.25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3.2" x14ac:dyDescent="0.25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13.2" x14ac:dyDescent="0.25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13.2" x14ac:dyDescent="0.25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13.2" x14ac:dyDescent="0.25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13.2" x14ac:dyDescent="0.25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13.2" x14ac:dyDescent="0.25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13.2" x14ac:dyDescent="0.25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13.2" x14ac:dyDescent="0.2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13.2" x14ac:dyDescent="0.25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13.2" x14ac:dyDescent="0.25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13.2" x14ac:dyDescent="0.25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13.2" x14ac:dyDescent="0.25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13.2" x14ac:dyDescent="0.25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13.2" x14ac:dyDescent="0.25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13.2" x14ac:dyDescent="0.25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13.2" x14ac:dyDescent="0.25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13.2" x14ac:dyDescent="0.25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13.2" x14ac:dyDescent="0.2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13.2" x14ac:dyDescent="0.25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13.2" x14ac:dyDescent="0.25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13.2" x14ac:dyDescent="0.25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13.2" x14ac:dyDescent="0.25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13.2" x14ac:dyDescent="0.25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3.2" x14ac:dyDescent="0.25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3.2" x14ac:dyDescent="0.25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3.2" x14ac:dyDescent="0.25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3.2" x14ac:dyDescent="0.25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3.2" x14ac:dyDescent="0.2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3.2" x14ac:dyDescent="0.25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3.2" x14ac:dyDescent="0.25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3.2" x14ac:dyDescent="0.25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3.2" x14ac:dyDescent="0.25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3.2" x14ac:dyDescent="0.25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3.2" x14ac:dyDescent="0.25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3.2" x14ac:dyDescent="0.25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3.2" x14ac:dyDescent="0.25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3.2" x14ac:dyDescent="0.25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</sheetData>
  <dataValidations count="1">
    <dataValidation type="list" allowBlank="1" showErrorMessage="1" sqref="B2:B32" xr:uid="{00000000-0002-0000-0500-000000000000}">
      <formula1>"высокий,средний,низкий"</formula1>
    </dataValidation>
  </dataValidations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  <hyperlink ref="F12" r:id="rId11" xr:uid="{00000000-0004-0000-0500-00000A000000}"/>
    <hyperlink ref="F13" r:id="rId12" xr:uid="{00000000-0004-0000-0500-00000B000000}"/>
    <hyperlink ref="F14" r:id="rId13" xr:uid="{00000000-0004-0000-0500-00000C000000}"/>
    <hyperlink ref="F15" r:id="rId14" xr:uid="{00000000-0004-0000-0500-00000D000000}"/>
    <hyperlink ref="F16" r:id="rId15" xr:uid="{00000000-0004-0000-0500-00000E000000}"/>
    <hyperlink ref="F17" r:id="rId16" xr:uid="{00000000-0004-0000-0500-00000F000000}"/>
    <hyperlink ref="F18" r:id="rId17" xr:uid="{00000000-0004-0000-0500-000010000000}"/>
    <hyperlink ref="F19" r:id="rId18" xr:uid="{00000000-0004-0000-0500-000011000000}"/>
    <hyperlink ref="F20" r:id="rId19" xr:uid="{00000000-0004-0000-0500-000012000000}"/>
    <hyperlink ref="F21" r:id="rId20" xr:uid="{00000000-0004-0000-0500-000013000000}"/>
    <hyperlink ref="F22" r:id="rId21" xr:uid="{00000000-0004-0000-0500-000014000000}"/>
    <hyperlink ref="F23" r:id="rId22" xr:uid="{00000000-0004-0000-0500-000015000000}"/>
    <hyperlink ref="F24" r:id="rId23" xr:uid="{00000000-0004-0000-0500-000016000000}"/>
    <hyperlink ref="F25" r:id="rId24" xr:uid="{00000000-0004-0000-0500-000017000000}"/>
    <hyperlink ref="F26" r:id="rId25" xr:uid="{00000000-0004-0000-0500-000018000000}"/>
    <hyperlink ref="F27" r:id="rId26" xr:uid="{00000000-0004-0000-0500-000019000000}"/>
    <hyperlink ref="F28" r:id="rId27" xr:uid="{00000000-0004-0000-0500-00001A000000}"/>
    <hyperlink ref="F29" r:id="rId28" xr:uid="{00000000-0004-0000-0500-00001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Y1004"/>
  <sheetViews>
    <sheetView topLeftCell="A28" workbookViewId="0"/>
  </sheetViews>
  <sheetFormatPr defaultColWidth="12.6640625" defaultRowHeight="15.75" customHeight="1" x14ac:dyDescent="0.25"/>
  <cols>
    <col min="1" max="1" width="43.33203125" customWidth="1"/>
    <col min="2" max="2" width="16.77734375" customWidth="1"/>
    <col min="3" max="3" width="15.44140625" customWidth="1"/>
    <col min="4" max="4" width="20.21875" customWidth="1"/>
    <col min="5" max="5" width="33.6640625" customWidth="1"/>
    <col min="6" max="6" width="29.44140625" customWidth="1"/>
    <col min="7" max="7" width="37" customWidth="1"/>
    <col min="8" max="8" width="24.44140625" customWidth="1"/>
  </cols>
  <sheetData>
    <row r="1" spans="1:25" ht="15.75" customHeight="1" x14ac:dyDescent="0.3">
      <c r="A1" s="39" t="s">
        <v>0</v>
      </c>
      <c r="B1" s="40" t="s">
        <v>1</v>
      </c>
      <c r="C1" s="41" t="s">
        <v>2</v>
      </c>
      <c r="D1" s="41" t="s">
        <v>3</v>
      </c>
      <c r="E1" s="40" t="s">
        <v>4</v>
      </c>
      <c r="F1" s="39" t="s">
        <v>5</v>
      </c>
      <c r="G1" s="42"/>
      <c r="H1" s="43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x14ac:dyDescent="0.25">
      <c r="A2" s="21" t="s">
        <v>275</v>
      </c>
      <c r="B2" s="21">
        <v>1</v>
      </c>
      <c r="C2" s="21">
        <v>7500</v>
      </c>
      <c r="D2" s="19">
        <f t="shared" ref="D2:D16" si="0">B2*C2</f>
        <v>7500</v>
      </c>
      <c r="E2" s="77"/>
      <c r="F2" s="21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</row>
    <row r="3" spans="1:25" x14ac:dyDescent="0.25">
      <c r="A3" s="21" t="s">
        <v>276</v>
      </c>
      <c r="B3" s="21">
        <v>1</v>
      </c>
      <c r="C3" s="21">
        <v>9602</v>
      </c>
      <c r="D3" s="21">
        <f t="shared" si="0"/>
        <v>9602</v>
      </c>
      <c r="E3" s="22" t="s">
        <v>277</v>
      </c>
      <c r="F3" s="21"/>
      <c r="G3" s="79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</row>
    <row r="4" spans="1:25" x14ac:dyDescent="0.25">
      <c r="A4" s="21" t="s">
        <v>278</v>
      </c>
      <c r="B4" s="21">
        <v>2</v>
      </c>
      <c r="C4" s="21">
        <v>2545</v>
      </c>
      <c r="D4" s="19">
        <f t="shared" si="0"/>
        <v>5090</v>
      </c>
      <c r="E4" s="22" t="s">
        <v>19</v>
      </c>
      <c r="F4" s="19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</row>
    <row r="5" spans="1:25" x14ac:dyDescent="0.25">
      <c r="A5" s="21" t="s">
        <v>279</v>
      </c>
      <c r="B5" s="21">
        <v>2</v>
      </c>
      <c r="C5" s="21">
        <v>961</v>
      </c>
      <c r="D5" s="19">
        <f t="shared" si="0"/>
        <v>1922</v>
      </c>
      <c r="E5" s="45" t="s">
        <v>280</v>
      </c>
      <c r="F5" s="19"/>
      <c r="G5" s="80" t="s">
        <v>281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</row>
    <row r="6" spans="1:25" x14ac:dyDescent="0.25">
      <c r="A6" s="21" t="s">
        <v>282</v>
      </c>
      <c r="B6" s="21">
        <v>4</v>
      </c>
      <c r="C6" s="21">
        <v>798</v>
      </c>
      <c r="D6" s="19">
        <f t="shared" si="0"/>
        <v>3192</v>
      </c>
      <c r="E6" s="22" t="s">
        <v>283</v>
      </c>
      <c r="F6" s="19"/>
      <c r="G6" s="80" t="s">
        <v>284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A7" s="21" t="s">
        <v>285</v>
      </c>
      <c r="B7" s="21">
        <v>1</v>
      </c>
      <c r="C7" s="21">
        <v>375</v>
      </c>
      <c r="D7" s="19">
        <f t="shared" si="0"/>
        <v>375</v>
      </c>
      <c r="E7" s="45" t="s">
        <v>286</v>
      </c>
      <c r="F7" s="19"/>
      <c r="G7" s="81">
        <f>SUM(D:D)</f>
        <v>50372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</row>
    <row r="8" spans="1:25" x14ac:dyDescent="0.25">
      <c r="A8" s="21" t="s">
        <v>287</v>
      </c>
      <c r="B8" s="21">
        <v>1</v>
      </c>
      <c r="C8" s="21">
        <v>450</v>
      </c>
      <c r="D8" s="19">
        <f t="shared" si="0"/>
        <v>450</v>
      </c>
      <c r="E8" s="45" t="s">
        <v>288</v>
      </c>
      <c r="F8" s="19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</row>
    <row r="9" spans="1:25" x14ac:dyDescent="0.25">
      <c r="A9" s="21" t="s">
        <v>289</v>
      </c>
      <c r="B9" s="21">
        <v>1</v>
      </c>
      <c r="C9" s="21">
        <v>600</v>
      </c>
      <c r="D9" s="19">
        <f t="shared" si="0"/>
        <v>600</v>
      </c>
      <c r="E9" s="45" t="s">
        <v>290</v>
      </c>
      <c r="F9" s="19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 spans="1:25" x14ac:dyDescent="0.25">
      <c r="A10" s="21" t="s">
        <v>291</v>
      </c>
      <c r="B10" s="21">
        <v>1</v>
      </c>
      <c r="C10" s="21">
        <v>197</v>
      </c>
      <c r="D10" s="19">
        <f t="shared" si="0"/>
        <v>197</v>
      </c>
      <c r="E10" s="45" t="s">
        <v>292</v>
      </c>
      <c r="F10" s="19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</row>
    <row r="11" spans="1:25" x14ac:dyDescent="0.25">
      <c r="A11" s="51" t="s">
        <v>293</v>
      </c>
      <c r="B11" s="51">
        <v>1</v>
      </c>
      <c r="C11" s="51">
        <v>201</v>
      </c>
      <c r="D11" s="31">
        <f t="shared" si="0"/>
        <v>201</v>
      </c>
      <c r="E11" s="52" t="s">
        <v>294</v>
      </c>
      <c r="F11" s="31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</row>
    <row r="12" spans="1:25" x14ac:dyDescent="0.25">
      <c r="A12" s="21" t="s">
        <v>295</v>
      </c>
      <c r="B12" s="21">
        <v>3</v>
      </c>
      <c r="C12" s="21">
        <v>253</v>
      </c>
      <c r="D12" s="19">
        <f t="shared" si="0"/>
        <v>759</v>
      </c>
      <c r="E12" s="22" t="s">
        <v>296</v>
      </c>
      <c r="F12" s="19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</row>
    <row r="13" spans="1:25" x14ac:dyDescent="0.25">
      <c r="A13" s="21" t="s">
        <v>297</v>
      </c>
      <c r="B13" s="21">
        <v>2</v>
      </c>
      <c r="C13" s="21">
        <v>380</v>
      </c>
      <c r="D13" s="19">
        <f t="shared" si="0"/>
        <v>760</v>
      </c>
      <c r="E13" s="22" t="s">
        <v>17</v>
      </c>
      <c r="F13" s="19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 spans="1:25" x14ac:dyDescent="0.25">
      <c r="A14" s="21" t="s">
        <v>298</v>
      </c>
      <c r="B14" s="21">
        <v>1</v>
      </c>
      <c r="C14" s="21">
        <v>303</v>
      </c>
      <c r="D14" s="19">
        <f t="shared" si="0"/>
        <v>303</v>
      </c>
      <c r="E14" s="22" t="s">
        <v>299</v>
      </c>
      <c r="F14" s="19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</row>
    <row r="15" spans="1:25" x14ac:dyDescent="0.25">
      <c r="A15" s="60" t="s">
        <v>300</v>
      </c>
      <c r="B15" s="60">
        <v>0</v>
      </c>
      <c r="C15" s="60">
        <v>352</v>
      </c>
      <c r="D15" s="70">
        <f t="shared" si="0"/>
        <v>0</v>
      </c>
      <c r="E15" s="83" t="s">
        <v>301</v>
      </c>
      <c r="F15" s="70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spans="1:25" x14ac:dyDescent="0.25">
      <c r="A16" s="60" t="s">
        <v>302</v>
      </c>
      <c r="B16" s="60">
        <v>0</v>
      </c>
      <c r="C16" s="60">
        <v>320</v>
      </c>
      <c r="D16" s="70">
        <f t="shared" si="0"/>
        <v>0</v>
      </c>
      <c r="E16" s="61" t="s">
        <v>303</v>
      </c>
      <c r="F16" s="70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spans="1:25" x14ac:dyDescent="0.25">
      <c r="A17" s="74"/>
      <c r="B17" s="74"/>
      <c r="C17" s="74"/>
      <c r="D17" s="50"/>
      <c r="E17" s="76"/>
      <c r="F17" s="50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spans="1:25" x14ac:dyDescent="0.25">
      <c r="A18" s="74"/>
      <c r="B18" s="74"/>
      <c r="C18" s="74"/>
      <c r="D18" s="50"/>
      <c r="E18" s="76"/>
      <c r="F18" s="50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1:25" x14ac:dyDescent="0.25">
      <c r="A19" s="74"/>
      <c r="B19" s="74"/>
      <c r="C19" s="74"/>
      <c r="D19" s="50"/>
      <c r="E19" s="76"/>
      <c r="F19" s="50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spans="1:25" x14ac:dyDescent="0.25">
      <c r="A20" s="84"/>
      <c r="B20" s="84"/>
      <c r="C20" s="84"/>
      <c r="D20" s="85">
        <f>B20*C20</f>
        <v>0</v>
      </c>
      <c r="E20" s="86"/>
      <c r="F20" s="8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spans="1:25" x14ac:dyDescent="0.25">
      <c r="A21" s="87" t="s">
        <v>304</v>
      </c>
      <c r="B21" s="87"/>
      <c r="C21" s="87"/>
      <c r="D21" s="88"/>
      <c r="E21" s="87"/>
      <c r="F21" s="88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spans="1:25" x14ac:dyDescent="0.25">
      <c r="A22" s="24" t="s">
        <v>172</v>
      </c>
      <c r="B22" s="24">
        <v>2</v>
      </c>
      <c r="C22" s="24">
        <v>1006</v>
      </c>
      <c r="D22" s="23">
        <f t="shared" ref="D22:D62" si="1">B22*C22</f>
        <v>2012</v>
      </c>
      <c r="E22" s="25" t="s">
        <v>17</v>
      </c>
      <c r="F22" s="67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1:25" x14ac:dyDescent="0.25">
      <c r="A23" s="90" t="s">
        <v>148</v>
      </c>
      <c r="B23" s="24">
        <v>3</v>
      </c>
      <c r="C23" s="24">
        <v>1612</v>
      </c>
      <c r="D23" s="23">
        <f t="shared" si="1"/>
        <v>4836</v>
      </c>
      <c r="E23" s="25" t="s">
        <v>17</v>
      </c>
      <c r="F23" s="67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1:25" x14ac:dyDescent="0.25">
      <c r="A24" s="23" t="s">
        <v>151</v>
      </c>
      <c r="B24" s="23">
        <v>1</v>
      </c>
      <c r="C24" s="24">
        <v>400</v>
      </c>
      <c r="D24" s="23">
        <f t="shared" si="1"/>
        <v>400</v>
      </c>
      <c r="E24" s="22" t="s">
        <v>17</v>
      </c>
      <c r="F24" s="21" t="s">
        <v>48</v>
      </c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1:25" x14ac:dyDescent="0.25">
      <c r="A25" s="21" t="s">
        <v>154</v>
      </c>
      <c r="B25" s="21">
        <v>1</v>
      </c>
      <c r="C25" s="21">
        <v>500</v>
      </c>
      <c r="D25" s="19">
        <f t="shared" si="1"/>
        <v>500</v>
      </c>
      <c r="E25" s="22" t="s">
        <v>17</v>
      </c>
      <c r="F25" s="21" t="s">
        <v>173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1:25" x14ac:dyDescent="0.25">
      <c r="A26" s="23" t="s">
        <v>80</v>
      </c>
      <c r="B26" s="24">
        <v>15</v>
      </c>
      <c r="C26" s="23">
        <v>18</v>
      </c>
      <c r="D26" s="23">
        <f t="shared" si="1"/>
        <v>270</v>
      </c>
      <c r="E26" s="25" t="s">
        <v>7</v>
      </c>
      <c r="F26" s="67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1:25" x14ac:dyDescent="0.25">
      <c r="A27" s="90" t="s">
        <v>156</v>
      </c>
      <c r="B27" s="24">
        <v>10</v>
      </c>
      <c r="C27" s="90">
        <v>23</v>
      </c>
      <c r="D27" s="23">
        <f t="shared" si="1"/>
        <v>230</v>
      </c>
      <c r="E27" s="25" t="s">
        <v>7</v>
      </c>
      <c r="F27" s="67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1:25" x14ac:dyDescent="0.25">
      <c r="A28" s="21" t="s">
        <v>6</v>
      </c>
      <c r="B28" s="21">
        <v>5</v>
      </c>
      <c r="C28" s="21">
        <v>12</v>
      </c>
      <c r="D28" s="19">
        <f t="shared" si="1"/>
        <v>60</v>
      </c>
      <c r="E28" s="22" t="s">
        <v>7</v>
      </c>
      <c r="F28" s="19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1:25" x14ac:dyDescent="0.25">
      <c r="A29" s="21" t="s">
        <v>174</v>
      </c>
      <c r="B29" s="21">
        <v>1</v>
      </c>
      <c r="C29" s="21">
        <v>360</v>
      </c>
      <c r="D29" s="19">
        <f t="shared" si="1"/>
        <v>360</v>
      </c>
      <c r="E29" s="22" t="s">
        <v>17</v>
      </c>
      <c r="F29" s="21" t="s">
        <v>63</v>
      </c>
      <c r="G29" s="79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1:25" x14ac:dyDescent="0.25">
      <c r="A30" s="21" t="s">
        <v>175</v>
      </c>
      <c r="B30" s="21">
        <v>10</v>
      </c>
      <c r="C30" s="21">
        <v>11</v>
      </c>
      <c r="D30" s="19">
        <f t="shared" si="1"/>
        <v>110</v>
      </c>
      <c r="E30" s="22" t="s">
        <v>7</v>
      </c>
      <c r="F30" s="19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1:25" x14ac:dyDescent="0.25">
      <c r="A31" s="21" t="s">
        <v>176</v>
      </c>
      <c r="B31" s="21">
        <v>10</v>
      </c>
      <c r="C31" s="21">
        <v>18</v>
      </c>
      <c r="D31" s="19">
        <f t="shared" si="1"/>
        <v>180</v>
      </c>
      <c r="E31" s="22" t="s">
        <v>7</v>
      </c>
      <c r="F31" s="19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1:25" x14ac:dyDescent="0.25">
      <c r="A32" s="21" t="s">
        <v>177</v>
      </c>
      <c r="B32" s="21">
        <v>10</v>
      </c>
      <c r="C32" s="21">
        <v>10</v>
      </c>
      <c r="D32" s="19">
        <f t="shared" si="1"/>
        <v>100</v>
      </c>
      <c r="E32" s="22" t="s">
        <v>7</v>
      </c>
      <c r="F32" s="19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1:25" ht="26.4" x14ac:dyDescent="0.25">
      <c r="A33" s="21" t="s">
        <v>16</v>
      </c>
      <c r="B33" s="21">
        <v>2</v>
      </c>
      <c r="C33" s="21">
        <v>490</v>
      </c>
      <c r="D33" s="19">
        <f t="shared" si="1"/>
        <v>980</v>
      </c>
      <c r="E33" s="22" t="s">
        <v>17</v>
      </c>
      <c r="F33" s="21" t="s">
        <v>18</v>
      </c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1:25" ht="13.2" x14ac:dyDescent="0.25">
      <c r="A34" s="21" t="s">
        <v>179</v>
      </c>
      <c r="B34" s="21">
        <v>2</v>
      </c>
      <c r="C34" s="21">
        <v>260</v>
      </c>
      <c r="D34" s="19">
        <f t="shared" si="1"/>
        <v>520</v>
      </c>
      <c r="E34" s="22" t="s">
        <v>17</v>
      </c>
      <c r="F34" s="19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 spans="1:25" ht="26.4" x14ac:dyDescent="0.25">
      <c r="A35" s="21" t="s">
        <v>20</v>
      </c>
      <c r="B35" s="21">
        <v>1</v>
      </c>
      <c r="C35" s="21">
        <v>180</v>
      </c>
      <c r="D35" s="19">
        <f t="shared" si="1"/>
        <v>180</v>
      </c>
      <c r="E35" s="22" t="s">
        <v>17</v>
      </c>
      <c r="F35" s="71" t="s">
        <v>21</v>
      </c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 spans="1:25" ht="13.2" x14ac:dyDescent="0.25">
      <c r="A36" s="90" t="s">
        <v>23</v>
      </c>
      <c r="B36" s="90">
        <v>1</v>
      </c>
      <c r="C36" s="90">
        <v>180</v>
      </c>
      <c r="D36" s="23">
        <f t="shared" si="1"/>
        <v>180</v>
      </c>
      <c r="E36" s="91" t="s">
        <v>17</v>
      </c>
      <c r="F36" s="90" t="s">
        <v>21</v>
      </c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 spans="1:25" ht="13.2" x14ac:dyDescent="0.25">
      <c r="A37" s="21" t="s">
        <v>181</v>
      </c>
      <c r="B37" s="21">
        <v>5</v>
      </c>
      <c r="C37" s="21">
        <v>60</v>
      </c>
      <c r="D37" s="19">
        <f t="shared" si="1"/>
        <v>300</v>
      </c>
      <c r="E37" s="22" t="s">
        <v>7</v>
      </c>
      <c r="F37" s="19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 spans="1:25" ht="13.2" x14ac:dyDescent="0.25">
      <c r="A38" s="21" t="s">
        <v>182</v>
      </c>
      <c r="B38" s="21">
        <v>1</v>
      </c>
      <c r="C38" s="21">
        <v>120</v>
      </c>
      <c r="D38" s="19">
        <f t="shared" si="1"/>
        <v>120</v>
      </c>
      <c r="E38" s="22" t="s">
        <v>17</v>
      </c>
      <c r="F38" s="21" t="s">
        <v>183</v>
      </c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</row>
    <row r="39" spans="1:25" ht="13.2" x14ac:dyDescent="0.25">
      <c r="A39" s="21" t="s">
        <v>184</v>
      </c>
      <c r="B39" s="21">
        <v>1</v>
      </c>
      <c r="C39" s="21">
        <v>240</v>
      </c>
      <c r="D39" s="19">
        <f t="shared" si="1"/>
        <v>240</v>
      </c>
      <c r="E39" s="22" t="s">
        <v>17</v>
      </c>
      <c r="F39" s="19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</row>
    <row r="40" spans="1:25" ht="13.2" x14ac:dyDescent="0.25">
      <c r="A40" s="21" t="s">
        <v>185</v>
      </c>
      <c r="B40" s="21">
        <v>1</v>
      </c>
      <c r="C40" s="21">
        <v>200</v>
      </c>
      <c r="D40" s="19">
        <f t="shared" si="1"/>
        <v>200</v>
      </c>
      <c r="E40" s="22" t="s">
        <v>17</v>
      </c>
      <c r="F40" s="19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</row>
    <row r="41" spans="1:25" ht="13.2" x14ac:dyDescent="0.25">
      <c r="A41" s="21" t="s">
        <v>186</v>
      </c>
      <c r="B41" s="21">
        <v>2</v>
      </c>
      <c r="C41" s="21">
        <v>170</v>
      </c>
      <c r="D41" s="19">
        <f t="shared" si="1"/>
        <v>340</v>
      </c>
      <c r="E41" s="22" t="s">
        <v>17</v>
      </c>
      <c r="F41" s="19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</row>
    <row r="42" spans="1:25" ht="26.4" x14ac:dyDescent="0.25">
      <c r="A42" s="21" t="s">
        <v>187</v>
      </c>
      <c r="B42" s="21">
        <v>2</v>
      </c>
      <c r="C42" s="21">
        <v>527</v>
      </c>
      <c r="D42" s="19">
        <f t="shared" si="1"/>
        <v>1054</v>
      </c>
      <c r="E42" s="22" t="s">
        <v>17</v>
      </c>
      <c r="F42" s="21" t="s">
        <v>188</v>
      </c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</row>
    <row r="43" spans="1:25" ht="26.4" x14ac:dyDescent="0.25">
      <c r="A43" s="21" t="s">
        <v>189</v>
      </c>
      <c r="B43" s="21">
        <v>3</v>
      </c>
      <c r="C43" s="21">
        <v>260</v>
      </c>
      <c r="D43" s="19">
        <f t="shared" si="1"/>
        <v>780</v>
      </c>
      <c r="E43" s="22" t="s">
        <v>7</v>
      </c>
      <c r="F43" s="19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 spans="1:25" ht="13.2" x14ac:dyDescent="0.25">
      <c r="A44" s="21" t="s">
        <v>190</v>
      </c>
      <c r="B44" s="21">
        <v>1</v>
      </c>
      <c r="C44" s="21">
        <v>670</v>
      </c>
      <c r="D44" s="19">
        <f t="shared" si="1"/>
        <v>670</v>
      </c>
      <c r="E44" s="22" t="s">
        <v>17</v>
      </c>
      <c r="F44" s="21" t="s">
        <v>55</v>
      </c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 spans="1:25" ht="26.4" x14ac:dyDescent="0.25">
      <c r="A45" s="21" t="s">
        <v>191</v>
      </c>
      <c r="B45" s="21">
        <v>1</v>
      </c>
      <c r="C45" s="21">
        <v>330</v>
      </c>
      <c r="D45" s="19">
        <f t="shared" si="1"/>
        <v>330</v>
      </c>
      <c r="E45" s="22" t="s">
        <v>17</v>
      </c>
      <c r="F45" s="21" t="s">
        <v>55</v>
      </c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 spans="1:25" ht="13.2" x14ac:dyDescent="0.25">
      <c r="A46" s="21" t="s">
        <v>192</v>
      </c>
      <c r="B46" s="21">
        <v>1</v>
      </c>
      <c r="C46" s="21">
        <v>250</v>
      </c>
      <c r="D46" s="19">
        <f t="shared" si="1"/>
        <v>250</v>
      </c>
      <c r="E46" s="22" t="s">
        <v>17</v>
      </c>
      <c r="F46" s="21" t="s">
        <v>305</v>
      </c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 spans="1:25" ht="13.2" x14ac:dyDescent="0.25">
      <c r="A47" s="21" t="s">
        <v>194</v>
      </c>
      <c r="B47" s="21">
        <v>1</v>
      </c>
      <c r="C47" s="21">
        <v>280</v>
      </c>
      <c r="D47" s="19">
        <f t="shared" si="1"/>
        <v>280</v>
      </c>
      <c r="E47" s="22" t="s">
        <v>17</v>
      </c>
      <c r="F47" s="21" t="s">
        <v>195</v>
      </c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 spans="1:25" ht="13.2" x14ac:dyDescent="0.25">
      <c r="A48" s="21" t="s">
        <v>196</v>
      </c>
      <c r="B48" s="21">
        <v>1</v>
      </c>
      <c r="C48" s="21">
        <v>200</v>
      </c>
      <c r="D48" s="19">
        <f t="shared" si="1"/>
        <v>200</v>
      </c>
      <c r="E48" s="22" t="s">
        <v>17</v>
      </c>
      <c r="F48" s="21" t="s">
        <v>63</v>
      </c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 spans="1:25" ht="13.2" x14ac:dyDescent="0.25">
      <c r="A49" s="21" t="s">
        <v>197</v>
      </c>
      <c r="B49" s="21">
        <v>5</v>
      </c>
      <c r="C49" s="21">
        <v>34</v>
      </c>
      <c r="D49" s="19">
        <f t="shared" si="1"/>
        <v>170</v>
      </c>
      <c r="E49" s="22" t="s">
        <v>7</v>
      </c>
      <c r="F49" s="21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 spans="1:25" ht="13.2" x14ac:dyDescent="0.25">
      <c r="A50" s="21" t="s">
        <v>198</v>
      </c>
      <c r="B50" s="21">
        <v>5</v>
      </c>
      <c r="C50" s="21">
        <v>27</v>
      </c>
      <c r="D50" s="19">
        <f t="shared" si="1"/>
        <v>135</v>
      </c>
      <c r="E50" s="22" t="s">
        <v>7</v>
      </c>
      <c r="F50" s="21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 spans="1:25" ht="13.2" x14ac:dyDescent="0.25">
      <c r="A51" s="21" t="s">
        <v>199</v>
      </c>
      <c r="B51" s="21">
        <v>5</v>
      </c>
      <c r="C51" s="21">
        <v>29</v>
      </c>
      <c r="D51" s="19">
        <f t="shared" si="1"/>
        <v>145</v>
      </c>
      <c r="E51" s="22" t="s">
        <v>7</v>
      </c>
      <c r="F51" s="21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 spans="1:25" ht="13.2" x14ac:dyDescent="0.25">
      <c r="A52" s="21" t="s">
        <v>200</v>
      </c>
      <c r="B52" s="21">
        <v>2</v>
      </c>
      <c r="C52" s="21">
        <v>350</v>
      </c>
      <c r="D52" s="19">
        <f t="shared" si="1"/>
        <v>700</v>
      </c>
      <c r="E52" s="22" t="s">
        <v>17</v>
      </c>
      <c r="F52" s="21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 spans="1:25" ht="13.2" x14ac:dyDescent="0.25">
      <c r="A53" s="21" t="s">
        <v>201</v>
      </c>
      <c r="B53" s="21">
        <v>1</v>
      </c>
      <c r="C53" s="21">
        <v>200</v>
      </c>
      <c r="D53" s="19">
        <f t="shared" si="1"/>
        <v>200</v>
      </c>
      <c r="E53" s="22" t="s">
        <v>17</v>
      </c>
      <c r="F53" s="21" t="s">
        <v>63</v>
      </c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 spans="1:25" ht="26.4" x14ac:dyDescent="0.25">
      <c r="A54" s="21" t="s">
        <v>203</v>
      </c>
      <c r="B54" s="21">
        <v>1</v>
      </c>
      <c r="C54" s="21">
        <v>1200</v>
      </c>
      <c r="D54" s="19">
        <f t="shared" si="1"/>
        <v>1200</v>
      </c>
      <c r="E54" s="22" t="s">
        <v>17</v>
      </c>
      <c r="F54" s="21" t="s">
        <v>306</v>
      </c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 spans="1:25" ht="26.4" x14ac:dyDescent="0.25">
      <c r="A55" s="21" t="s">
        <v>205</v>
      </c>
      <c r="B55" s="21">
        <v>1</v>
      </c>
      <c r="C55" s="21">
        <v>430</v>
      </c>
      <c r="D55" s="19">
        <f t="shared" si="1"/>
        <v>430</v>
      </c>
      <c r="E55" s="22" t="s">
        <v>17</v>
      </c>
      <c r="F55" s="21" t="s">
        <v>307</v>
      </c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 spans="1:25" ht="26.4" x14ac:dyDescent="0.25">
      <c r="A56" s="21" t="s">
        <v>35</v>
      </c>
      <c r="B56" s="21">
        <v>2</v>
      </c>
      <c r="C56" s="21">
        <v>271</v>
      </c>
      <c r="D56" s="19">
        <f t="shared" si="1"/>
        <v>542</v>
      </c>
      <c r="E56" s="22" t="s">
        <v>17</v>
      </c>
      <c r="F56" s="21" t="s">
        <v>308</v>
      </c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26.4" x14ac:dyDescent="0.25">
      <c r="A57" s="21" t="s">
        <v>309</v>
      </c>
      <c r="B57" s="21">
        <v>1</v>
      </c>
      <c r="C57" s="21">
        <v>217</v>
      </c>
      <c r="D57" s="19">
        <f t="shared" si="1"/>
        <v>217</v>
      </c>
      <c r="E57" s="22" t="s">
        <v>310</v>
      </c>
      <c r="F57" s="21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</row>
    <row r="58" spans="1:25" ht="13.2" x14ac:dyDescent="0.25">
      <c r="A58" s="53"/>
      <c r="B58" s="53"/>
      <c r="C58" s="53"/>
      <c r="D58" s="35">
        <f t="shared" si="1"/>
        <v>0</v>
      </c>
      <c r="E58" s="73"/>
      <c r="F58" s="53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spans="1:25" ht="13.2" x14ac:dyDescent="0.25">
      <c r="A59" s="53"/>
      <c r="B59" s="53"/>
      <c r="C59" s="53"/>
      <c r="D59" s="35">
        <f t="shared" si="1"/>
        <v>0</v>
      </c>
      <c r="E59" s="73"/>
      <c r="F59" s="53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spans="1:25" ht="13.2" x14ac:dyDescent="0.25">
      <c r="A60" s="53"/>
      <c r="B60" s="53"/>
      <c r="C60" s="53"/>
      <c r="D60" s="35">
        <f t="shared" si="1"/>
        <v>0</v>
      </c>
      <c r="E60" s="73"/>
      <c r="F60" s="53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13.2" x14ac:dyDescent="0.25">
      <c r="A61" s="53"/>
      <c r="B61" s="53"/>
      <c r="C61" s="53"/>
      <c r="D61" s="35">
        <f t="shared" si="1"/>
        <v>0</v>
      </c>
      <c r="E61" s="73"/>
      <c r="F61" s="53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13.2" x14ac:dyDescent="0.25">
      <c r="A62" s="53"/>
      <c r="B62" s="53"/>
      <c r="C62" s="53"/>
      <c r="D62" s="35">
        <f t="shared" si="1"/>
        <v>0</v>
      </c>
      <c r="E62" s="73"/>
      <c r="F62" s="53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13.2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13.2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13.2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13.2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13.2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13.2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13.2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13.2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13.2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13.2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13.2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13.2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13.2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13.2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13.2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13.2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13.2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13.2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13.2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13.2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13.2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13.2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13.2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spans="1:25" ht="13.2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spans="1:25" ht="13.2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spans="1:25" ht="13.2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spans="1:25" ht="13.2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spans="1:25" ht="13.2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spans="1:25" ht="13.2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spans="1:25" ht="13.2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spans="1:25" ht="13.2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spans="1:25" ht="13.2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spans="1:25" ht="13.2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spans="1:25" ht="13.2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spans="1:25" ht="13.2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spans="1:25" ht="13.2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 spans="1:25" ht="13.2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 spans="1:25" ht="13.2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 spans="1:25" ht="13.2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 spans="1:25" ht="13.2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 spans="1:25" ht="13.2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 spans="1:25" ht="13.2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 spans="1:25" ht="13.2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 spans="1:25" ht="13.2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 spans="1:25" ht="13.2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 spans="1:25" ht="13.2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 spans="1:25" ht="13.2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 spans="1:25" ht="13.2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 spans="1:25" ht="13.2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spans="1:25" ht="13.2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 spans="1:25" ht="13.2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 spans="1:25" ht="13.2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 spans="1:25" ht="13.2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 spans="1:25" ht="13.2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 spans="1:25" ht="13.2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 spans="1:25" ht="13.2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 spans="1:25" ht="13.2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 spans="1:25" ht="13.2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 spans="1:25" ht="13.2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 spans="1:25" ht="13.2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 spans="1:25" ht="13.2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 spans="1:25" ht="13.2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 spans="1:25" ht="13.2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 spans="1:25" ht="13.2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 spans="1:25" ht="13.2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 spans="1:25" ht="13.2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 spans="1:25" ht="13.2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 spans="1:25" ht="13.2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 spans="1:25" ht="13.2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 spans="1:25" ht="13.2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 spans="1:25" ht="13.2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 spans="1:25" ht="13.2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 spans="1:25" ht="13.2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 spans="1:25" ht="13.2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 spans="1:25" ht="13.2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 spans="1:25" ht="13.2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 spans="1:25" ht="13.2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 spans="1:25" ht="13.2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 spans="1:25" ht="13.2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 spans="1:25" ht="13.2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 spans="1:25" ht="13.2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 spans="1:25" ht="13.2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 spans="1:25" ht="13.2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 spans="1:25" ht="13.2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 spans="1:25" ht="13.2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 spans="1:25" ht="13.2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 spans="1:25" ht="13.2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 spans="1:25" ht="13.2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 spans="1:25" ht="13.2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 spans="1:25" ht="13.2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 spans="1:25" ht="13.2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 spans="1:25" ht="13.2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 spans="1:25" ht="13.2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 spans="1:25" ht="13.2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 ht="13.2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 ht="13.2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 spans="1:25" ht="13.2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 spans="1:25" ht="13.2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 spans="1:25" ht="13.2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 spans="1:25" ht="13.2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 spans="1:25" ht="13.2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 spans="1:25" ht="13.2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 spans="1:25" ht="13.2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 spans="1:25" ht="13.2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 spans="1:25" ht="13.2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 spans="1:25" ht="13.2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 spans="1:25" ht="13.2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 spans="1:25" ht="13.2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 spans="1:25" ht="13.2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 spans="1:25" ht="13.2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 spans="1:25" ht="13.2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 spans="1:25" ht="13.2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 spans="1:25" ht="13.2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 spans="1:25" ht="13.2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 spans="1:25" ht="13.2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 spans="1:25" ht="13.2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 spans="1:25" ht="13.2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 spans="1:25" ht="13.2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 spans="1:25" ht="13.2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 spans="1:25" ht="13.2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 spans="1:25" ht="13.2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 spans="1:25" ht="13.2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 spans="1:25" ht="13.2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 spans="1:25" ht="13.2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 spans="1:25" ht="13.2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 spans="1:25" ht="13.2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 spans="1:25" ht="13.2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 spans="1:25" ht="13.2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 spans="1:25" ht="13.2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 spans="1:25" ht="13.2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 spans="1:25" ht="13.2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 spans="1:25" ht="13.2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spans="1:25" ht="13.2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 spans="1:25" ht="13.2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 spans="1:25" ht="13.2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 spans="1:25" ht="13.2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 spans="1:25" ht="13.2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 spans="1:25" ht="13.2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 spans="1:25" ht="13.2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 spans="1:25" ht="13.2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 spans="1:25" ht="13.2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 spans="1:25" ht="13.2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 spans="1:25" ht="13.2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 spans="1:25" ht="13.2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 spans="1:25" ht="13.2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 spans="1:25" ht="13.2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 spans="1:25" ht="13.2" x14ac:dyDescent="0.2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 spans="1:25" ht="13.2" x14ac:dyDescent="0.2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 spans="1:25" ht="13.2" x14ac:dyDescent="0.2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 spans="1:25" ht="13.2" x14ac:dyDescent="0.2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 spans="1:25" ht="13.2" x14ac:dyDescent="0.2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 spans="1:25" ht="13.2" x14ac:dyDescent="0.2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 spans="1:25" ht="13.2" x14ac:dyDescent="0.2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 spans="1:25" ht="13.2" x14ac:dyDescent="0.2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 spans="1:25" ht="13.2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spans="1:25" ht="13.2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 spans="1:25" ht="13.2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 spans="1:25" ht="13.2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 spans="1:25" ht="13.2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 spans="1:25" ht="13.2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 spans="1:25" ht="13.2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 spans="1:25" ht="13.2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 spans="1:25" ht="13.2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 spans="1:25" ht="13.2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 spans="1:25" ht="13.2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 spans="1:25" ht="13.2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 spans="1:25" ht="13.2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 spans="1:25" ht="13.2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 spans="1:25" ht="13.2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 spans="1:25" ht="13.2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 spans="1:25" ht="13.2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 spans="1:25" ht="13.2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 spans="1:25" ht="13.2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 spans="1:25" ht="13.2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 spans="1:25" ht="13.2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 spans="1:25" ht="13.2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 spans="1:25" ht="13.2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 spans="1:25" ht="13.2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 spans="1:25" ht="13.2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 spans="1:25" ht="13.2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 spans="1:25" ht="13.2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 spans="1:25" ht="13.2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 spans="1:25" ht="13.2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 spans="1:25" ht="13.2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 spans="1:25" ht="13.2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 spans="1:25" ht="13.2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 spans="1:25" ht="13.2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 spans="1:25" ht="13.2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 spans="1:25" ht="13.2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 spans="1:25" ht="13.2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 spans="1:25" ht="13.2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 spans="1:25" ht="13.2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 spans="1:25" ht="13.2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 spans="1:25" ht="13.2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 spans="1:25" ht="13.2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 spans="1:25" ht="13.2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 spans="1:25" ht="13.2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 spans="1:25" ht="13.2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 spans="1:25" ht="13.2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 spans="1:25" ht="13.2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 spans="1:25" ht="13.2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 spans="1:25" ht="13.2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 spans="1:25" ht="13.2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 spans="1:25" ht="13.2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 spans="1:25" ht="13.2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 spans="1:25" ht="13.2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 spans="1:25" ht="13.2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 spans="1:25" ht="13.2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 spans="1:25" ht="13.2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 spans="1:25" ht="13.2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 spans="1:25" ht="13.2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 spans="1:25" ht="13.2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 spans="1:25" ht="13.2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 spans="1:25" ht="13.2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 spans="1:25" ht="13.2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 spans="1:25" ht="13.2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 spans="1:25" ht="13.2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 spans="1:25" ht="13.2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 spans="1:25" ht="13.2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 spans="1:25" ht="13.2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 spans="1:25" ht="13.2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 spans="1:25" ht="13.2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 spans="1:25" ht="13.2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 spans="1:25" ht="13.2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 spans="1:25" ht="13.2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 spans="1:25" ht="13.2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 spans="1:25" ht="13.2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 spans="1:25" ht="13.2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 spans="1:25" ht="13.2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 spans="1:25" ht="13.2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 spans="1:25" ht="13.2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 spans="1:25" ht="13.2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 spans="1:25" ht="13.2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 spans="1:25" ht="13.2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 spans="1:25" ht="13.2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 spans="1:25" ht="13.2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 spans="1:25" ht="13.2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 spans="1:25" ht="13.2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 spans="1:25" ht="13.2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 spans="1:25" ht="13.2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 spans="1:25" ht="13.2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 spans="1:25" ht="13.2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 spans="1:25" ht="13.2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 spans="1:25" ht="13.2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 spans="1:25" ht="13.2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 spans="1:25" ht="13.2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 spans="1:25" ht="13.2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 spans="1:25" ht="13.2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 spans="1:25" ht="13.2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 spans="1:25" ht="13.2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 spans="1:25" ht="13.2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 spans="1:25" ht="13.2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 spans="1:25" ht="13.2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 spans="1:25" ht="13.2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 spans="1:25" ht="13.2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 spans="1:25" ht="13.2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 spans="1:25" ht="13.2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 spans="1:25" ht="13.2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 spans="1:25" ht="13.2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 spans="1:25" ht="13.2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 spans="1:25" ht="13.2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 spans="1:25" ht="13.2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 spans="1:25" ht="13.2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 spans="1:25" ht="13.2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 spans="1:25" ht="13.2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 spans="1:25" ht="13.2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 spans="1:25" ht="13.2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 spans="1:25" ht="13.2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 spans="1:25" ht="13.2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 spans="1:25" ht="13.2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 spans="1:25" ht="13.2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 spans="1:25" ht="13.2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 spans="1:25" ht="13.2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 spans="1:25" ht="13.2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 spans="1:25" ht="13.2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 spans="1:25" ht="13.2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 spans="1:25" ht="13.2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 spans="1:25" ht="13.2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 spans="1:25" ht="13.2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 spans="1:25" ht="13.2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 spans="1:25" ht="13.2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 spans="1:25" ht="13.2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 spans="1:25" ht="13.2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 spans="1:25" ht="13.2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 spans="1:25" ht="13.2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 spans="1:25" ht="13.2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 spans="1:25" ht="13.2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 spans="1:25" ht="13.2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 spans="1:25" ht="13.2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 spans="1:25" ht="13.2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 spans="1:25" ht="13.2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 spans="1:25" ht="13.2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 spans="1:25" ht="13.2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 spans="1:25" ht="13.2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 spans="1:25" ht="13.2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 spans="1:25" ht="13.2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 spans="1:25" ht="13.2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 spans="1:25" ht="13.2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 spans="1:25" ht="13.2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 spans="1:25" ht="13.2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 spans="1:25" ht="13.2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 spans="1:25" ht="13.2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 spans="1:25" ht="13.2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 spans="1:25" ht="13.2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 spans="1:25" ht="13.2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 spans="1:25" ht="13.2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 spans="1:25" ht="13.2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 spans="1:25" ht="13.2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 spans="1:25" ht="13.2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 spans="1:25" ht="13.2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 spans="1:25" ht="13.2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 spans="1:25" ht="13.2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 spans="1:25" ht="13.2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 spans="1:25" ht="13.2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 spans="1:25" ht="13.2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 spans="1:25" ht="13.2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 spans="1:25" ht="13.2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 spans="1:25" ht="13.2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 spans="1:25" ht="13.2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 spans="1:25" ht="13.2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 spans="1:25" ht="13.2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 spans="1:25" ht="13.2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 spans="1:25" ht="13.2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 spans="1:25" ht="13.2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 spans="1:25" ht="13.2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 spans="1:25" ht="13.2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 spans="1:25" ht="13.2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 spans="1:25" ht="13.2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 spans="1:25" ht="13.2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 spans="1:25" ht="13.2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 spans="1:25" ht="13.2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 spans="1:25" ht="13.2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 spans="1:25" ht="13.2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 spans="1:25" ht="13.2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 spans="1:25" ht="13.2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 spans="1:25" ht="13.2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 spans="1:25" ht="13.2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 spans="1:25" ht="13.2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 spans="1:25" ht="13.2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 spans="1:25" ht="13.2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 spans="1:25" ht="13.2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 spans="1:25" ht="13.2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 spans="1:25" ht="13.2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 spans="1:25" ht="13.2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 spans="1:25" ht="13.2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 spans="1:25" ht="13.2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 spans="1:25" ht="13.2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 spans="1:25" ht="13.2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 spans="1:25" ht="13.2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 spans="1:25" ht="13.2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 spans="1:25" ht="13.2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 spans="1:25" ht="13.2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 spans="1:25" ht="13.2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 spans="1:25" ht="13.2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 spans="1:25" ht="13.2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 spans="1:25" ht="13.2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 spans="1:25" ht="13.2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 spans="1:25" ht="13.2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 spans="1:25" ht="13.2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 spans="1:25" ht="13.2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 spans="1:25" ht="13.2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 spans="1:25" ht="13.2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 spans="1:25" ht="13.2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 spans="1:25" ht="13.2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 spans="1:25" ht="13.2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 spans="1:25" ht="13.2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 spans="1:25" ht="13.2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 spans="1:25" ht="13.2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 spans="1:25" ht="13.2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 spans="1:25" ht="13.2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 spans="1:25" ht="13.2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 spans="1:25" ht="13.2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 spans="1:25" ht="13.2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 spans="1:25" ht="13.2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 spans="1:25" ht="13.2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 spans="1:25" ht="13.2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 spans="1:25" ht="13.2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 spans="1:25" ht="13.2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 spans="1:25" ht="13.2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 spans="1:25" ht="13.2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 spans="1:25" ht="13.2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 spans="1:25" ht="13.2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 spans="1:25" ht="13.2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 spans="1:25" ht="13.2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 spans="1:25" ht="13.2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 spans="1:25" ht="13.2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 spans="1:25" ht="13.2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 spans="1:25" ht="13.2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 spans="1:25" ht="13.2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 spans="1:25" ht="13.2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 spans="1:25" ht="13.2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 spans="1:25" ht="13.2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 spans="1:25" ht="13.2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 spans="1:25" ht="13.2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 spans="1:25" ht="13.2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 spans="1:25" ht="13.2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 spans="1:25" ht="13.2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 spans="1:25" ht="13.2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 spans="1:25" ht="13.2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 spans="1:25" ht="13.2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 spans="1:25" ht="13.2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 spans="1:25" ht="13.2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 spans="1:25" ht="13.2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 spans="1:25" ht="13.2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 spans="1:25" ht="13.2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 spans="1:25" ht="13.2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 spans="1:25" ht="13.2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 spans="1:25" ht="13.2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 spans="1:25" ht="13.2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 spans="1:25" ht="13.2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 spans="1:25" ht="13.2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 spans="1:25" ht="13.2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 spans="1:25" ht="13.2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 spans="1:25" ht="13.2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 spans="1:25" ht="13.2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 spans="1:25" ht="13.2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 spans="1:25" ht="13.2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 spans="1:25" ht="13.2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 spans="1:25" ht="13.2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 spans="1:25" ht="13.2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 spans="1:25" ht="13.2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 spans="1:25" ht="13.2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 spans="1:25" ht="13.2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 spans="1:25" ht="13.2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 spans="1:25" ht="13.2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 spans="1:25" ht="13.2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 spans="1:25" ht="13.2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 spans="1:25" ht="13.2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 spans="1:25" ht="13.2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 spans="1:25" ht="13.2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 spans="1:25" ht="13.2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 spans="1:25" ht="13.2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 spans="1:25" ht="13.2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 spans="1:25" ht="13.2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 spans="1:25" ht="13.2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 spans="1:25" ht="13.2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 spans="1:25" ht="13.2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 spans="1:25" ht="13.2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 spans="1:25" ht="13.2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 spans="1:25" ht="13.2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 spans="1:25" ht="13.2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 spans="1:25" ht="13.2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 spans="1:25" ht="13.2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 spans="1:25" ht="13.2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 spans="1:25" ht="13.2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 spans="1:25" ht="13.2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 spans="1:25" ht="13.2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 spans="1:25" ht="13.2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 spans="1:25" ht="13.2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 spans="1:25" ht="13.2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 spans="1:25" ht="13.2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 spans="1:25" ht="13.2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 spans="1:25" ht="13.2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 spans="1:25" ht="13.2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 spans="1:25" ht="13.2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 spans="1:25" ht="13.2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 spans="1:25" ht="13.2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 spans="1:25" ht="13.2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 spans="1:25" ht="13.2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 spans="1:25" ht="13.2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 spans="1:25" ht="13.2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 spans="1:25" ht="13.2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 spans="1:25" ht="13.2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 spans="1:25" ht="13.2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 spans="1:25" ht="13.2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 spans="1:25" ht="13.2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 spans="1:25" ht="13.2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 spans="1:25" ht="13.2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 spans="1:25" ht="13.2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 spans="1:25" ht="13.2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 spans="1:25" ht="13.2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 spans="1:25" ht="13.2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 spans="1:25" ht="13.2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 spans="1:25" ht="13.2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 spans="1:25" ht="13.2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 spans="1:25" ht="13.2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 spans="1:25" ht="13.2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 spans="1:25" ht="13.2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 spans="1:25" ht="13.2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 spans="1:25" ht="13.2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 spans="1:25" ht="13.2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 spans="1:25" ht="13.2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 spans="1:25" ht="13.2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 spans="1:25" ht="13.2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 spans="1:25" ht="13.2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 spans="1:25" ht="13.2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 spans="1:25" ht="13.2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 spans="1:25" ht="13.2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 spans="1:25" ht="13.2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 spans="1:25" ht="13.2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 spans="1:25" ht="13.2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 spans="1:25" ht="13.2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 spans="1:25" ht="13.2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 spans="1:25" ht="13.2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 spans="1:25" ht="13.2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 spans="1:25" ht="13.2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 spans="1:25" ht="13.2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 spans="1:25" ht="13.2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 spans="1:25" ht="13.2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 spans="1:25" ht="13.2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 spans="1:25" ht="13.2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 spans="1:25" ht="13.2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 spans="1:25" ht="13.2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 spans="1:25" ht="13.2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 spans="1:25" ht="13.2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 spans="1:25" ht="13.2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 spans="1:25" ht="13.2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 spans="1:25" ht="13.2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 spans="1:25" ht="13.2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 spans="1:25" ht="13.2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 spans="1:25" ht="13.2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 spans="1:25" ht="13.2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 spans="1:25" ht="13.2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 spans="1:25" ht="13.2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 spans="1:25" ht="13.2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 spans="1:25" ht="13.2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 spans="1:25" ht="13.2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 spans="1:25" ht="13.2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 spans="1:25" ht="13.2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 spans="1:25" ht="13.2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 spans="1:25" ht="13.2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 spans="1:25" ht="13.2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 spans="1:25" ht="13.2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 spans="1:25" ht="13.2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 spans="1:25" ht="13.2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 spans="1:25" ht="13.2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 spans="1:25" ht="13.2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 spans="1:25" ht="13.2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 spans="1:25" ht="13.2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 spans="1:25" ht="13.2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 spans="1:25" ht="13.2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 spans="1:25" ht="13.2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 spans="1:25" ht="13.2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 spans="1:25" ht="13.2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 spans="1:25" ht="13.2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 spans="1:25" ht="13.2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 spans="1:25" ht="13.2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 spans="1:25" ht="13.2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 spans="1:25" ht="13.2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 spans="1:25" ht="13.2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 spans="1:25" ht="13.2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 spans="1:25" ht="13.2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 spans="1:25" ht="13.2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 spans="1:25" ht="13.2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 spans="1:25" ht="13.2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 spans="1:25" ht="13.2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 spans="1:25" ht="13.2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 spans="1:25" ht="13.2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 spans="1:25" ht="13.2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 spans="1:25" ht="13.2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 spans="1:25" ht="13.2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 spans="1:25" ht="13.2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 spans="1:25" ht="13.2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 spans="1:25" ht="13.2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 spans="1:25" ht="13.2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 spans="1:25" ht="13.2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 spans="1:25" ht="13.2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 spans="1:25" ht="13.2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 spans="1:25" ht="13.2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 spans="1:25" ht="13.2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 spans="1:25" ht="13.2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 spans="1:25" ht="13.2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 spans="1:25" ht="13.2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 spans="1:25" ht="13.2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 spans="1:25" ht="13.2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 spans="1:25" ht="13.2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 spans="1:25" ht="13.2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 spans="1:25" ht="13.2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 spans="1:25" ht="13.2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 spans="1:25" ht="13.2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 spans="1:25" ht="13.2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 spans="1:25" ht="13.2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 spans="1:25" ht="13.2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 spans="1:25" ht="13.2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 spans="1:25" ht="13.2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 spans="1:25" ht="13.2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 spans="1:25" ht="13.2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 spans="1:25" ht="13.2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 spans="1:25" ht="13.2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 spans="1:25" ht="13.2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 spans="1:25" ht="13.2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 spans="1:25" ht="13.2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 spans="1:25" ht="13.2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 spans="1:25" ht="13.2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 spans="1:25" ht="13.2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 spans="1:25" ht="13.2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 spans="1:25" ht="13.2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 spans="1:25" ht="13.2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 spans="1:25" ht="13.2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 spans="1:25" ht="13.2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 spans="1:25" ht="13.2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 spans="1:25" ht="13.2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 spans="1:25" ht="13.2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 spans="1:25" ht="13.2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 spans="1:25" ht="13.2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 spans="1:25" ht="13.2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 spans="1:25" ht="13.2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 spans="1:25" ht="13.2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 spans="1:25" ht="13.2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 spans="1:25" ht="13.2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 spans="1:25" ht="13.2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 spans="1:25" ht="13.2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 spans="1:25" ht="13.2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 spans="1:25" ht="13.2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 spans="1:25" ht="13.2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 spans="1:25" ht="13.2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 spans="1:25" ht="13.2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 spans="1:25" ht="13.2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 spans="1:25" ht="13.2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 spans="1:25" ht="13.2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 spans="1:25" ht="13.2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 spans="1:25" ht="13.2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 spans="1:25" ht="13.2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 spans="1:25" ht="13.2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 spans="1:25" ht="13.2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 spans="1:25" ht="13.2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 spans="1:25" ht="13.2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 spans="1:25" ht="13.2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 spans="1:25" ht="13.2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 spans="1:25" ht="13.2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 spans="1:25" ht="13.2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 spans="1:25" ht="13.2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 spans="1:25" ht="13.2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 spans="1:25" ht="13.2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 spans="1:25" ht="13.2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 spans="1:25" ht="13.2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 spans="1:25" ht="13.2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 spans="1:25" ht="13.2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 spans="1:25" ht="13.2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 spans="1:25" ht="13.2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 spans="1:25" ht="13.2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 spans="1:25" ht="13.2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 spans="1:25" ht="13.2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 spans="1:25" ht="13.2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 spans="1:25" ht="13.2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 spans="1:25" ht="13.2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 spans="1:25" ht="13.2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 spans="1:25" ht="13.2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 spans="1:25" ht="13.2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 spans="1:25" ht="13.2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 spans="1:25" ht="13.2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 spans="1:25" ht="13.2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 spans="1:25" ht="13.2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 spans="1:25" ht="13.2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 spans="1:25" ht="13.2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 spans="1:25" ht="13.2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 spans="1:25" ht="13.2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 spans="1:25" ht="13.2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 spans="1:25" ht="13.2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 spans="1:25" ht="13.2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 spans="1:25" ht="13.2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 spans="1:25" ht="13.2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 spans="1:25" ht="13.2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 spans="1:25" ht="13.2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 spans="1:25" ht="13.2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 spans="1:25" ht="13.2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 spans="1:25" ht="13.2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 spans="1:25" ht="13.2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 spans="1:25" ht="13.2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 spans="1:25" ht="13.2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 spans="1:25" ht="13.2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 spans="1:25" ht="13.2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 spans="1:25" ht="13.2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 spans="1:25" ht="13.2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 spans="1:25" ht="13.2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 spans="1:25" ht="13.2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 spans="1:25" ht="13.2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 spans="1:25" ht="13.2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 spans="1:25" ht="13.2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 spans="1:25" ht="13.2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 spans="1:25" ht="13.2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 spans="1:25" ht="13.2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 spans="1:25" ht="13.2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 spans="1:25" ht="13.2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 spans="1:25" ht="13.2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 spans="1:25" ht="13.2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 spans="1:25" ht="13.2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 spans="1:25" ht="13.2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 spans="1:25" ht="13.2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 spans="1:25" ht="13.2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 spans="1:25" ht="13.2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 spans="1:25" ht="13.2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 spans="1:25" ht="13.2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 spans="1:25" ht="13.2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 spans="1:25" ht="13.2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 spans="1:25" ht="13.2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 spans="1:25" ht="13.2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 spans="1:25" ht="13.2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 spans="1:25" ht="13.2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 spans="1:25" ht="13.2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 spans="1:25" ht="13.2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 spans="1:25" ht="13.2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 spans="1:25" ht="13.2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 spans="1:25" ht="13.2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 spans="1:25" ht="13.2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 spans="1:25" ht="13.2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 spans="1:25" ht="13.2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 spans="1:25" ht="13.2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 spans="1:25" ht="13.2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 spans="1:25" ht="13.2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 spans="1:25" ht="13.2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 spans="1:25" ht="13.2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 spans="1:25" ht="13.2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 spans="1:25" ht="13.2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 spans="1:25" ht="13.2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 spans="1:25" ht="13.2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 spans="1:25" ht="13.2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 spans="1:25" ht="13.2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 spans="1:25" ht="13.2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 spans="1:25" ht="13.2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 spans="1:25" ht="13.2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 spans="1:25" ht="13.2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 spans="1:25" ht="13.2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 spans="1:25" ht="13.2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 spans="1:25" ht="13.2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 spans="1:25" ht="13.2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 spans="1:25" ht="13.2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 spans="1:25" ht="13.2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 spans="1:25" ht="13.2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 spans="1:25" ht="13.2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 spans="1:25" ht="13.2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 spans="1:25" ht="13.2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 spans="1:25" ht="13.2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 spans="1:25" ht="13.2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 spans="1:25" ht="13.2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 spans="1:25" ht="13.2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 spans="1:25" ht="13.2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 spans="1:25" ht="13.2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 spans="1:25" ht="13.2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 spans="1:25" ht="13.2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 spans="1:25" ht="13.2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 spans="1:25" ht="13.2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 spans="1:25" ht="13.2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 spans="1:25" ht="13.2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 spans="1:25" ht="13.2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 spans="1:25" ht="13.2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 spans="1:25" ht="13.2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 spans="1:25" ht="13.2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 spans="1:25" ht="13.2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 spans="1:25" ht="13.2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 spans="1:25" ht="13.2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 spans="1:25" ht="13.2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 spans="1:25" ht="13.2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 spans="1:25" ht="13.2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 spans="1:25" ht="13.2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 spans="1:25" ht="13.2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 spans="1:25" ht="13.2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 spans="1:25" ht="13.2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 spans="1:25" ht="13.2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 spans="1:25" ht="13.2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 spans="1:25" ht="13.2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 spans="1:25" ht="13.2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 spans="1:25" ht="13.2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 spans="1:25" ht="13.2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 spans="1:25" ht="13.2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 spans="1:25" ht="13.2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 spans="1:25" ht="13.2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 spans="1:25" ht="13.2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 spans="1:25" ht="13.2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 spans="1:25" ht="13.2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 spans="1:25" ht="13.2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 spans="1:25" ht="13.2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 spans="1:25" ht="13.2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 spans="1:25" ht="13.2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 spans="1:25" ht="13.2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 spans="1:25" ht="13.2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 spans="1:25" ht="13.2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 spans="1:25" ht="13.2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 spans="1:25" ht="13.2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 spans="1:25" ht="13.2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 spans="1:25" ht="13.2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 spans="1:25" ht="13.2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 spans="1:25" ht="13.2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 spans="1:25" ht="13.2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 spans="1:25" ht="13.2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 spans="1:25" ht="13.2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 spans="1:25" ht="13.2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 spans="1:25" ht="13.2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 spans="1:25" ht="13.2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 spans="1:25" ht="13.2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 spans="1:25" ht="13.2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 spans="1:25" ht="13.2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 spans="1:25" ht="13.2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 spans="1:25" ht="13.2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 spans="1:25" ht="13.2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 spans="1:25" ht="13.2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 spans="1:25" ht="13.2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 spans="1:25" ht="13.2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 spans="1:25" ht="13.2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 spans="1:25" ht="13.2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 spans="1:25" ht="13.2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 spans="1:25" ht="13.2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 spans="1:25" ht="13.2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 spans="1:25" ht="13.2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 spans="1:25" ht="13.2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 spans="1:25" ht="13.2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 spans="1:25" ht="13.2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 spans="1:25" ht="13.2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 spans="1:25" ht="13.2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 spans="1:25" ht="13.2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 spans="1:25" ht="13.2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 spans="1:25" ht="13.2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 spans="1:25" ht="13.2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 spans="1:25" ht="13.2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 spans="1:25" ht="13.2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 spans="1:25" ht="13.2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 spans="1:25" ht="13.2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 spans="1:25" ht="13.2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 spans="1:25" ht="13.2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 spans="1:25" ht="13.2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 spans="1:25" ht="13.2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 spans="1:25" ht="13.2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 spans="1:25" ht="13.2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 spans="1:25" ht="13.2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 spans="1:25" ht="13.2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 spans="1:25" ht="13.2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 spans="1:25" ht="13.2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 spans="1:25" ht="13.2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 spans="1:25" ht="13.2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 spans="1:25" ht="13.2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 spans="1:25" ht="13.2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 spans="1:25" ht="13.2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 spans="1:25" ht="13.2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 spans="1:25" ht="13.2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 spans="1:25" ht="13.2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 spans="1:25" ht="13.2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 spans="1:25" ht="13.2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 spans="1:25" ht="13.2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 spans="1:25" ht="13.2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 spans="1:25" ht="13.2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 spans="1:25" ht="13.2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 spans="1:25" ht="13.2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 spans="1:25" ht="13.2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 spans="1:25" ht="13.2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 spans="1:25" ht="13.2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 spans="1:25" ht="13.2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 spans="1:25" ht="13.2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 spans="1:25" ht="13.2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 spans="1:25" ht="13.2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 spans="1:25" ht="13.2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 spans="1:25" ht="13.2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 spans="1:25" ht="13.2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 spans="1:25" ht="13.2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 spans="1:25" ht="13.2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 spans="1:25" ht="13.2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 spans="1:25" ht="13.2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 spans="1:25" ht="13.2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 spans="1:25" ht="13.2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 spans="1:25" ht="13.2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 spans="1:25" ht="13.2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 spans="1:25" ht="13.2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 spans="1:25" ht="13.2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 spans="1:25" ht="13.2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 spans="1:25" ht="13.2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 spans="1:25" ht="13.2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 spans="1:25" ht="13.2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 spans="1:25" ht="13.2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 spans="1:25" ht="13.2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 spans="1:25" ht="13.2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 spans="1:25" ht="13.2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 spans="1:25" ht="13.2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 spans="1:25" ht="13.2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 spans="1:25" ht="13.2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 spans="1:25" ht="13.2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 spans="1:25" ht="13.2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 spans="1:25" ht="13.2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 spans="1:25" ht="13.2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 spans="1:25" ht="13.2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 spans="1:25" ht="13.2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 spans="1:25" ht="13.2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 spans="1:25" ht="13.2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 spans="1:25" ht="13.2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 spans="1:25" ht="13.2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 spans="1:25" ht="13.2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 spans="1:25" ht="13.2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 spans="1:25" ht="13.2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 spans="1:25" ht="13.2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 spans="1:25" ht="13.2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 spans="1:25" ht="13.2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 spans="1:25" ht="13.2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 spans="1:25" ht="13.2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 spans="1:25" ht="13.2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 spans="1:25" ht="13.2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 spans="1:25" ht="13.2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 spans="1:25" ht="13.2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 spans="1:25" ht="13.2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 spans="1:25" ht="13.2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 spans="1:25" ht="13.2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 spans="1:25" ht="13.2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 spans="1:25" ht="13.2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 spans="1:25" ht="13.2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 spans="1:25" ht="13.2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 spans="1:25" ht="13.2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 spans="1:25" ht="13.2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 spans="1:25" ht="13.2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 spans="1:25" ht="13.2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 spans="1:25" ht="13.2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 spans="1:25" ht="13.2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 spans="1:25" ht="13.2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 spans="1:25" ht="13.2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 spans="1:25" ht="13.2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 spans="1:25" ht="13.2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 spans="1:25" ht="13.2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 spans="1:25" ht="13.2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 spans="1:25" ht="13.2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 spans="1:25" ht="13.2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 spans="1:25" ht="13.2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 spans="1:25" ht="13.2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 spans="1:25" ht="13.2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 spans="1:25" ht="13.2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 spans="1:25" ht="13.2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 spans="1:25" ht="13.2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 spans="1:25" ht="13.2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 spans="1:25" ht="13.2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 spans="1:25" ht="13.2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 spans="1:25" ht="13.2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 spans="1:25" ht="13.2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 spans="1:25" ht="13.2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 spans="1:25" ht="13.2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 spans="1:25" ht="13.2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 spans="1:25" ht="13.2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 spans="1:25" ht="13.2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 spans="1:25" ht="13.2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 spans="1:25" ht="13.2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 spans="1:25" ht="13.2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 spans="1:25" ht="13.2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 spans="1:25" ht="13.2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 spans="1:25" ht="13.2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 spans="1:25" ht="13.2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 spans="1:25" ht="13.2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 spans="1:25" ht="13.2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 spans="1:25" ht="13.2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 spans="1:25" ht="13.2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 spans="1:25" ht="13.2" x14ac:dyDescent="0.2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 spans="1:25" ht="13.2" x14ac:dyDescent="0.2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 spans="1:25" ht="13.2" x14ac:dyDescent="0.2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 spans="1:25" ht="13.2" x14ac:dyDescent="0.2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 spans="1:25" ht="13.2" x14ac:dyDescent="0.2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  <row r="1001" spans="1:25" ht="13.2" x14ac:dyDescent="0.25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</row>
    <row r="1002" spans="1:25" ht="13.2" x14ac:dyDescent="0.25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</row>
    <row r="1003" spans="1:25" ht="13.2" x14ac:dyDescent="0.25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</row>
    <row r="1004" spans="1:25" ht="13.2" x14ac:dyDescent="0.25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</row>
  </sheetData>
  <autoFilter ref="A1:G72" xr:uid="{00000000-0009-0000-0000-000007000000}"/>
  <hyperlinks>
    <hyperlink ref="E3" r:id="rId1" xr:uid="{00000000-0004-0000-0700-000000000000}"/>
    <hyperlink ref="E4" r:id="rId2" xr:uid="{00000000-0004-0000-0700-000001000000}"/>
    <hyperlink ref="E5" r:id="rId3" xr:uid="{00000000-0004-0000-0700-000002000000}"/>
    <hyperlink ref="E6" r:id="rId4" xr:uid="{00000000-0004-0000-0700-000003000000}"/>
    <hyperlink ref="E7" r:id="rId5" xr:uid="{00000000-0004-0000-0700-000004000000}"/>
    <hyperlink ref="E8" r:id="rId6" xr:uid="{00000000-0004-0000-0700-000005000000}"/>
    <hyperlink ref="E9" r:id="rId7" xr:uid="{00000000-0004-0000-0700-000006000000}"/>
    <hyperlink ref="E10" r:id="rId8" xr:uid="{00000000-0004-0000-0700-000007000000}"/>
    <hyperlink ref="E11" r:id="rId9" xr:uid="{00000000-0004-0000-0700-000008000000}"/>
    <hyperlink ref="E12" r:id="rId10" xr:uid="{00000000-0004-0000-0700-000009000000}"/>
    <hyperlink ref="E13" r:id="rId11" xr:uid="{00000000-0004-0000-0700-00000A000000}"/>
    <hyperlink ref="E14" r:id="rId12" xr:uid="{00000000-0004-0000-0700-00000B000000}"/>
    <hyperlink ref="E15" r:id="rId13" xr:uid="{00000000-0004-0000-0700-00000C000000}"/>
    <hyperlink ref="E16" r:id="rId14" xr:uid="{00000000-0004-0000-0700-00000D000000}"/>
    <hyperlink ref="E22" r:id="rId15" xr:uid="{00000000-0004-0000-0700-00000E000000}"/>
    <hyperlink ref="E23" r:id="rId16" xr:uid="{00000000-0004-0000-0700-00000F000000}"/>
    <hyperlink ref="E24" r:id="rId17" xr:uid="{00000000-0004-0000-0700-000010000000}"/>
    <hyperlink ref="E25" r:id="rId18" xr:uid="{00000000-0004-0000-0700-000011000000}"/>
    <hyperlink ref="E26" r:id="rId19" xr:uid="{00000000-0004-0000-0700-000012000000}"/>
    <hyperlink ref="E27" r:id="rId20" xr:uid="{00000000-0004-0000-0700-000013000000}"/>
    <hyperlink ref="E28" r:id="rId21" xr:uid="{00000000-0004-0000-0700-000014000000}"/>
    <hyperlink ref="E29" r:id="rId22" xr:uid="{00000000-0004-0000-0700-000015000000}"/>
    <hyperlink ref="E30" r:id="rId23" xr:uid="{00000000-0004-0000-0700-000016000000}"/>
    <hyperlink ref="E31" r:id="rId24" xr:uid="{00000000-0004-0000-0700-000017000000}"/>
    <hyperlink ref="E32" r:id="rId25" xr:uid="{00000000-0004-0000-0700-000018000000}"/>
    <hyperlink ref="E33" r:id="rId26" xr:uid="{00000000-0004-0000-0700-000019000000}"/>
    <hyperlink ref="E34" r:id="rId27" xr:uid="{00000000-0004-0000-0700-00001A000000}"/>
    <hyperlink ref="E35" r:id="rId28" xr:uid="{00000000-0004-0000-0700-00001B000000}"/>
    <hyperlink ref="E36" r:id="rId29" xr:uid="{00000000-0004-0000-0700-00001C000000}"/>
    <hyperlink ref="E37" r:id="rId30" xr:uid="{00000000-0004-0000-0700-00001D000000}"/>
    <hyperlink ref="E38" r:id="rId31" xr:uid="{00000000-0004-0000-0700-00001E000000}"/>
    <hyperlink ref="E39" r:id="rId32" xr:uid="{00000000-0004-0000-0700-00001F000000}"/>
    <hyperlink ref="E40" r:id="rId33" xr:uid="{00000000-0004-0000-0700-000020000000}"/>
    <hyperlink ref="E41" r:id="rId34" xr:uid="{00000000-0004-0000-0700-000021000000}"/>
    <hyperlink ref="E42" r:id="rId35" xr:uid="{00000000-0004-0000-0700-000022000000}"/>
    <hyperlink ref="E43" r:id="rId36" xr:uid="{00000000-0004-0000-0700-000023000000}"/>
    <hyperlink ref="E44" r:id="rId37" xr:uid="{00000000-0004-0000-0700-000024000000}"/>
    <hyperlink ref="E45" r:id="rId38" xr:uid="{00000000-0004-0000-0700-000025000000}"/>
    <hyperlink ref="E46" r:id="rId39" xr:uid="{00000000-0004-0000-0700-000026000000}"/>
    <hyperlink ref="E47" r:id="rId40" xr:uid="{00000000-0004-0000-0700-000027000000}"/>
    <hyperlink ref="E48" r:id="rId41" xr:uid="{00000000-0004-0000-0700-000028000000}"/>
    <hyperlink ref="E49" r:id="rId42" xr:uid="{00000000-0004-0000-0700-000029000000}"/>
    <hyperlink ref="E50" r:id="rId43" xr:uid="{00000000-0004-0000-0700-00002A000000}"/>
    <hyperlink ref="E51" r:id="rId44" xr:uid="{00000000-0004-0000-0700-00002B000000}"/>
    <hyperlink ref="E52" r:id="rId45" xr:uid="{00000000-0004-0000-0700-00002C000000}"/>
    <hyperlink ref="E53" r:id="rId46" xr:uid="{00000000-0004-0000-0700-00002D000000}"/>
    <hyperlink ref="E54" r:id="rId47" xr:uid="{00000000-0004-0000-0700-00002E000000}"/>
    <hyperlink ref="E55" r:id="rId48" xr:uid="{00000000-0004-0000-0700-00002F000000}"/>
    <hyperlink ref="E56" r:id="rId49" xr:uid="{00000000-0004-0000-0700-000030000000}"/>
    <hyperlink ref="E57" r:id="rId50" xr:uid="{00000000-0004-0000-07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Закупка PCB финал</vt:lpstr>
      <vt:lpstr>Электроника</vt:lpstr>
      <vt:lpstr>SIMA</vt:lpstr>
      <vt:lpstr>Срочная_закупка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</cp:lastModifiedBy>
  <dcterms:modified xsi:type="dcterms:W3CDTF">2026-06-17T11:22:48Z</dcterms:modified>
</cp:coreProperties>
</file>